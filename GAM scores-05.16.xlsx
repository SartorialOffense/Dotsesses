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mbjd/Dev/Dotsesses/"/>
    </mc:Choice>
  </mc:AlternateContent>
  <xr:revisionPtr revIDLastSave="0" documentId="13_ncr:1_{C6B0BC49-1B8B-3549-9223-ACEC6B2F13B6}" xr6:coauthVersionLast="47" xr6:coauthVersionMax="47" xr10:uidLastSave="{00000000-0000-0000-0000-000000000000}"/>
  <bookViews>
    <workbookView xWindow="4020" yWindow="680" windowWidth="30180" windowHeight="18320" xr2:uid="{CD04CAD0-0590-E640-852A-ACA7E957C021}"/>
  </bookViews>
  <sheets>
    <sheet name="Overall" sheetId="1" r:id="rId1"/>
    <sheet name="Class " sheetId="2" r:id="rId2"/>
    <sheet name="Engaged" sheetId="3" r:id="rId3"/>
    <sheet name="Blog critique" sheetId="9" r:id="rId4"/>
    <sheet name="Synth" sheetId="4" r:id="rId5"/>
    <sheet name="Other Core" sheetId="5" r:id="rId6"/>
    <sheet name="One pager" sheetId="8" r:id="rId7"/>
    <sheet name="Present" sheetId="6" r:id="rId8"/>
    <sheet name="EC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4" i="1"/>
  <c r="M16" i="1"/>
  <c r="M17" i="1"/>
  <c r="M5" i="1"/>
  <c r="M19" i="1"/>
  <c r="M6" i="1"/>
  <c r="M10" i="1"/>
  <c r="M11" i="1"/>
  <c r="M8" i="1"/>
  <c r="M9" i="1"/>
  <c r="M13" i="1"/>
  <c r="I56" i="7"/>
  <c r="I69" i="7"/>
  <c r="I49" i="7"/>
  <c r="I38" i="7"/>
  <c r="I30" i="7"/>
  <c r="I20" i="7"/>
  <c r="I11" i="7"/>
  <c r="I4" i="7"/>
  <c r="I4" i="6"/>
  <c r="I10" i="6"/>
  <c r="I17" i="6"/>
  <c r="I26" i="6"/>
  <c r="I34" i="6"/>
  <c r="I40" i="6"/>
  <c r="H4" i="3"/>
  <c r="H5" i="3"/>
  <c r="H6" i="3"/>
  <c r="H7" i="3"/>
  <c r="H8" i="3"/>
  <c r="H9" i="3"/>
  <c r="H10" i="3"/>
  <c r="H11" i="3"/>
  <c r="H12" i="3"/>
  <c r="H13" i="3"/>
  <c r="H14" i="3"/>
  <c r="H15" i="3"/>
  <c r="E54" i="9"/>
  <c r="E47" i="9"/>
  <c r="E38" i="9"/>
  <c r="E36" i="9"/>
  <c r="M21" i="1" l="1"/>
  <c r="M22" i="1"/>
  <c r="M26" i="1" l="1"/>
  <c r="M24" i="1"/>
  <c r="M25" i="1" s="1"/>
  <c r="E23" i="9" l="1"/>
  <c r="E16" i="9"/>
  <c r="E6" i="9"/>
  <c r="E4" i="9"/>
  <c r="G4" i="5"/>
  <c r="G5" i="5"/>
  <c r="G6" i="5"/>
  <c r="G7" i="5"/>
  <c r="G8" i="5"/>
  <c r="G9" i="5"/>
  <c r="G10" i="5"/>
  <c r="G11" i="5"/>
  <c r="G12" i="5"/>
  <c r="G13" i="5"/>
  <c r="G14" i="5"/>
  <c r="G15" i="5"/>
  <c r="H61" i="8"/>
  <c r="H71" i="8"/>
  <c r="H52" i="8"/>
  <c r="H39" i="8"/>
  <c r="H30" i="8"/>
  <c r="H29" i="8" l="1"/>
  <c r="H5" i="8" l="1"/>
  <c r="H18" i="8"/>
  <c r="H16" i="8"/>
  <c r="H4" i="8"/>
  <c r="H2" i="8" l="1"/>
  <c r="I2" i="7"/>
  <c r="I2" i="6"/>
  <c r="H4" i="2"/>
  <c r="H5" i="2"/>
  <c r="H6" i="2"/>
  <c r="H7" i="2"/>
  <c r="H8" i="2"/>
  <c r="H9" i="2"/>
  <c r="H10" i="2"/>
  <c r="H11" i="2"/>
  <c r="H12" i="2"/>
  <c r="H13" i="2"/>
  <c r="H14" i="2"/>
  <c r="H15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H2" i="3"/>
  <c r="M2" i="1" l="1"/>
</calcChain>
</file>

<file path=xl/sharedStrings.xml><?xml version="1.0" encoding="utf-8"?>
<sst xmlns="http://schemas.openxmlformats.org/spreadsheetml/2006/main" count="604" uniqueCount="326">
  <si>
    <t>Carillo</t>
  </si>
  <si>
    <t>Heidi</t>
  </si>
  <si>
    <t>Dahlgren</t>
  </si>
  <si>
    <t>Drew</t>
  </si>
  <si>
    <t>Doane</t>
  </si>
  <si>
    <t>Brendan</t>
  </si>
  <si>
    <t>Gago</t>
  </si>
  <si>
    <t>Noah</t>
  </si>
  <si>
    <t>Gill</t>
  </si>
  <si>
    <t>Kevin</t>
  </si>
  <si>
    <t>Helfer</t>
  </si>
  <si>
    <t>Atticus</t>
  </si>
  <si>
    <t>Lopez</t>
  </si>
  <si>
    <t>Tania</t>
  </si>
  <si>
    <t>Ordonia</t>
  </si>
  <si>
    <t>Grace</t>
  </si>
  <si>
    <t>Patel</t>
  </si>
  <si>
    <t>Ricky</t>
  </si>
  <si>
    <t>Poehlman</t>
  </si>
  <si>
    <t>Betsy</t>
  </si>
  <si>
    <t>Rabaut</t>
  </si>
  <si>
    <t>Thomas</t>
  </si>
  <si>
    <t>Ray</t>
  </si>
  <si>
    <t>Aakash</t>
  </si>
  <si>
    <t>Class P</t>
  </si>
  <si>
    <t>Engaged L</t>
  </si>
  <si>
    <t>Midsem</t>
  </si>
  <si>
    <t>Other Core</t>
  </si>
  <si>
    <t>Present</t>
  </si>
  <si>
    <t>EC 1</t>
  </si>
  <si>
    <t>EC blog</t>
  </si>
  <si>
    <t>ALL</t>
  </si>
  <si>
    <t>one pager</t>
  </si>
  <si>
    <t>Day 1 ref</t>
  </si>
  <si>
    <t>Wk 2 refl</t>
  </si>
  <si>
    <t>Blog critique</t>
  </si>
  <si>
    <t>Final reflec</t>
  </si>
  <si>
    <t>Oral</t>
  </si>
  <si>
    <t>Tophat</t>
  </si>
  <si>
    <t>Quiz</t>
  </si>
  <si>
    <t>Disc</t>
  </si>
  <si>
    <t>Quiz = week 2, 3, 4, 5, 6, 8, 11</t>
  </si>
  <si>
    <t>Wk 6 (oral)</t>
  </si>
  <si>
    <t xml:space="preserve">wk 5 </t>
  </si>
  <si>
    <t>wk 9</t>
  </si>
  <si>
    <t>Synth</t>
  </si>
  <si>
    <t xml:space="preserve">Disc = 7 (review), 9 (CL &amp; waiver), </t>
  </si>
  <si>
    <t>Disc = 10 A2med; 10 BCCR;  wk 14</t>
  </si>
  <si>
    <t>wk 10 A2med</t>
  </si>
  <si>
    <t>wk 10 BCCR</t>
  </si>
  <si>
    <t>wk 14</t>
  </si>
  <si>
    <t>Content</t>
  </si>
  <si>
    <t>Org</t>
  </si>
  <si>
    <t>Collab</t>
  </si>
  <si>
    <t>H/o</t>
  </si>
  <si>
    <t>Grafitti</t>
  </si>
  <si>
    <t>Vandalism v. Cultural value perspec; LA example; Cultral incompetency in laws &amp; bias in graffit laws</t>
  </si>
  <si>
    <t>Pohelman</t>
  </si>
  <si>
    <t>Keep or Scrub questions at beginning and end</t>
  </si>
  <si>
    <t>Good topic, but doesn't clearly indicate how knowledge of perspec results in solution to accommodate both</t>
  </si>
  <si>
    <t xml:space="preserve">AI </t>
  </si>
  <si>
    <t>great interactive topic; used script, but still good eye contact</t>
  </si>
  <si>
    <t>community protection  v Ec growth perspec</t>
  </si>
  <si>
    <t>good topic, but doesn't clearly indicate how knowledg perspec results in solution that accommodatees both?</t>
  </si>
  <si>
    <t>OR does IL law attempt to do that with power act?</t>
  </si>
  <si>
    <t>Insur</t>
  </si>
  <si>
    <t>interactive giam, but QR code issues</t>
  </si>
  <si>
    <t>"perspec 1" and "perspec 2" - SIU ned v. reg enf alone insuff and need legal remedy against SIU investig</t>
  </si>
  <si>
    <t>states solutions, but not clear how these realte</t>
  </si>
  <si>
    <t>Not really that tied to perspec:  Game, Law, argument, fix</t>
  </si>
  <si>
    <t>initial issue is hwether current model of Unfair Claims settlement Act which leaves enforcement to state  adeq to deter insurers from using SIU to deny/delay legit claims</t>
  </si>
  <si>
    <t>small text on slides; no images at all</t>
  </si>
  <si>
    <t>bad faith v. Breach of K</t>
  </si>
  <si>
    <t>Casting</t>
  </si>
  <si>
    <t>start with 5 hypos, Claybrook case</t>
  </si>
  <si>
    <t>slides don't nec lay out two perspec, but in presentation did talk about two</t>
  </si>
  <si>
    <t>what is likely protected or not; why not race neutral; conclusion</t>
  </si>
  <si>
    <t>great eye contact</t>
  </si>
  <si>
    <t>SNAP</t>
  </si>
  <si>
    <t>very involved game</t>
  </si>
  <si>
    <t>Raw Milk</t>
  </si>
  <si>
    <t>great presentation visuals and content except suggesting cultural competency in terms of what gets regulated - probably more bias</t>
  </si>
  <si>
    <t>Ordona</t>
  </si>
  <si>
    <t>4 questions to start; background; map with laws - ask what see; timeline</t>
  </si>
  <si>
    <t>Autonomy v. Public health</t>
  </si>
  <si>
    <t>Title</t>
  </si>
  <si>
    <t>Thesis-ish</t>
  </si>
  <si>
    <t>Aud</t>
  </si>
  <si>
    <t>Format</t>
  </si>
  <si>
    <t>Total</t>
  </si>
  <si>
    <t>Pharmacy Needs a Deal</t>
  </si>
  <si>
    <t>Viz/org</t>
  </si>
  <si>
    <t>Issue spot</t>
  </si>
  <si>
    <t>Title/contact</t>
  </si>
  <si>
    <t>CL: A Valuable tool in pub health</t>
  </si>
  <si>
    <t>CL:  Making up for the misconception</t>
  </si>
  <si>
    <t>India Stands?  The World Heals!</t>
  </si>
  <si>
    <t xml:space="preserve">Drug Patents; Deal or NO Deal </t>
  </si>
  <si>
    <t>Beware pf these IMPactful FTA Provisions</t>
  </si>
  <si>
    <t xml:space="preserve">Protecting Aff Global Drug Prices in </t>
  </si>
  <si>
    <t>Trade Negotiations Btwn India &amp; USA</t>
  </si>
  <si>
    <t>View</t>
  </si>
  <si>
    <t>slt priv</t>
  </si>
  <si>
    <t>mid</t>
  </si>
  <si>
    <t>claim mid, but art PhRMA</t>
  </si>
  <si>
    <t>innov except life saving</t>
  </si>
  <si>
    <t>innov</t>
  </si>
  <si>
    <t>closer priv</t>
  </si>
  <si>
    <t>priv for health; say recog innov argu</t>
  </si>
  <si>
    <t>MSF is not view</t>
  </si>
  <si>
    <t>lean priv</t>
  </si>
  <si>
    <t>innov mech; priv life-saving</t>
  </si>
  <si>
    <t>wk 2</t>
  </si>
  <si>
    <t>CL issue spotting</t>
  </si>
  <si>
    <t>GOAL - encourage use of CL if unaffordable</t>
  </si>
  <si>
    <t>reduce confusion of basic CL v. Art 31bis - all countries can issue CL, but not Art 31bis</t>
  </si>
  <si>
    <t>TRIPS doesn't limit grounds</t>
  </si>
  <si>
    <t>Country needs to authorize CL and permit for price</t>
  </si>
  <si>
    <t>TRIPS-any country; any R</t>
  </si>
  <si>
    <t>Local working must wait until after 3 years</t>
  </si>
  <si>
    <t>TRIPS lingo on scope</t>
  </si>
  <si>
    <t>"export rules" from 31bis if lack manu</t>
  </si>
  <si>
    <t>31bis as if know what ti is is</t>
  </si>
  <si>
    <t>one chart ; rpocess of CL?</t>
  </si>
  <si>
    <t>NOTHING ON DOMESTIC LAW/LOCAL WORKING</t>
  </si>
  <si>
    <t>NOTHING ON NOT ALL COUNTRIES CAN USE 31 BIS</t>
  </si>
  <si>
    <t>Issue - major issue is that country needs to have law to authorize</t>
  </si>
  <si>
    <t>no contact info; only title</t>
  </si>
  <si>
    <t>unclear what 31bis is and may need 2 CL</t>
  </si>
  <si>
    <t>Noah - more writing/org</t>
  </si>
  <si>
    <t>Tania - more clarifying</t>
  </si>
  <si>
    <t>Title clear, but could be a little more engaging</t>
  </si>
  <si>
    <t>Some good viduals, but also small font and redundacy</t>
  </si>
  <si>
    <t>C: defines C; unnec WTO and Doha</t>
  </si>
  <si>
    <t>WHO can issue; WHAT; When under TRIPS</t>
  </si>
  <si>
    <t>Does say that country should auth  Art 31 lic, "in way to promote A2drugs" but that's unclear</t>
  </si>
  <si>
    <t>Aud: lists TRIPS art 31 - lang not explained</t>
  </si>
  <si>
    <t>C:  notes bis to export, but not clear that WAIVES rule</t>
  </si>
  <si>
    <t>CL  nice chart of art 31 v. bis</t>
  </si>
  <si>
    <t>Issue - generally good except didn't include should have basis unaffordable</t>
  </si>
  <si>
    <t>C: lists possible grounds; box on side says unafford, but easy to miss</t>
  </si>
  <si>
    <t>Thomas - outline of what to discuss; Thoams 1st draft of all inclu formatting</t>
  </si>
  <si>
    <t>Aakash - foucs on "intro " - what are CL, both poor and wealth; Thomas - 31bis and bottomline portions</t>
  </si>
  <si>
    <t>CL under TRIPS…</t>
  </si>
  <si>
    <t>A policymakers guide</t>
  </si>
  <si>
    <t>Title assumes know CL</t>
  </si>
  <si>
    <t>nice layout</t>
  </si>
  <si>
    <t>AUD: mostly appro, altho TRIPS lang</t>
  </si>
  <si>
    <t>C: think bis to permit LDC to waive</t>
  </si>
  <si>
    <t>I/C: focus on middle income?</t>
  </si>
  <si>
    <t>I: think issue is lack of update to domestic laws to make CL usable?; think need to alter to comply with TRIPS</t>
  </si>
  <si>
    <t>C:  got 3 yrs needed for laocal working</t>
  </si>
  <si>
    <t>KEVIN:  ID problem and general permissibility;  myths/truths section; claim his sketch was more detailed</t>
  </si>
  <si>
    <t>KEIN: said Drew did Art 31 overview, bis, procedure</t>
  </si>
  <si>
    <t>Visual good, but some org odd (i.e. pharma 125% growth? )</t>
  </si>
  <si>
    <t>Title cnfusiong;MediReach contact info</t>
  </si>
  <si>
    <t>C:  drug patent is a legal right to a drug? (only o exclude); seems to ignore CL</t>
  </si>
  <si>
    <t>C:  says 90% US drugs generics, with 35% from India, creatig affordable --&gt; WHO IS TARGET AUD?</t>
  </si>
  <si>
    <t>Content: DE; PL + 1-2 addl most concerning</t>
  </si>
  <si>
    <t>C:  seems to suggest DE &amp; PL on table, but somewhat unclear; says may require "new" change</t>
  </si>
  <si>
    <t>C:  not 1 thing beyond DE/PL, but not clear</t>
  </si>
  <si>
    <t>ISSUE:  should be avoid DE and absolute patent linkage + new use WTIHOUT EFFICACY</t>
  </si>
  <si>
    <t>I:  claims no patents on new uses ever; nothing about new compositions</t>
  </si>
  <si>
    <t>C:  relatively curosry on content</t>
  </si>
  <si>
    <t>C:  for PL seems to suggest PL IS ALWAYS ABSOLUTE - THAT IS WRONG --&gt; 2.7</t>
  </si>
  <si>
    <t>Titlte - not quite clear what FTA; email, but no other contact</t>
  </si>
  <si>
    <t>C:  says generic rely on data to show bioequiv and DE blocks abiltiy to show bioequiv</t>
  </si>
  <si>
    <t>C:  clear that notification is best type of PL</t>
  </si>
  <si>
    <t>C:  think that CL issue is restrict to govt entites - NON ISSUE</t>
  </si>
  <si>
    <t>C:  DE; PL + patentability of new use &amp; CL</t>
  </si>
  <si>
    <t>C:  good except for CL I non-issue</t>
  </si>
  <si>
    <t>Visual: traffic light good, but no other visual</t>
  </si>
  <si>
    <t>Title:  descip, but not catchy; nice tag line; only website  no email</t>
  </si>
  <si>
    <t>I:  Notice-only PL ok; DE bad</t>
  </si>
  <si>
    <t>I:  new use and pre-grant pposition &amp; preserve CL</t>
  </si>
  <si>
    <t>ISSUE:  CL based on COST</t>
  </si>
  <si>
    <t>I: think elim pre-grant opposition problem</t>
  </si>
  <si>
    <t>C: think if new use patented, just define new as sign diff. isn't that OBVIOUSNESS?</t>
  </si>
  <si>
    <t xml:space="preserve">Ordona </t>
  </si>
  <si>
    <t>Post 1: Life saving Med should not be a luxury</t>
  </si>
  <si>
    <t>Goals</t>
  </si>
  <si>
    <t>2.  3 most important things, especially accuracy:  3 pts</t>
  </si>
  <si>
    <t>1.  Thesis in one sentence:  2 pt</t>
  </si>
  <si>
    <t>POST 1</t>
  </si>
  <si>
    <t>"normalize CL, prevent evergreening)</t>
  </si>
  <si>
    <t>(inclu mandatory patent sharing and known how if pub funded, TS exception</t>
  </si>
  <si>
    <t>3.  REWRITE TS EXCEPTION</t>
  </si>
  <si>
    <t>1.  COVID had inequities that draft Treaty is trying to fix, but current draft likely repeats errors</t>
  </si>
  <si>
    <t>need better s.a. aut waiver pandemic patents, mand tech transfer, "fast track" CL with peace clause</t>
  </si>
  <si>
    <t>2.  need to Mandate TS DISCLOSURE (not exception); remove evergreening; promote CL through peace clause?</t>
  </si>
  <si>
    <t>2.  ?? Everything already suggested, but extra background</t>
  </si>
  <si>
    <t>clarify waiver of int'l oblig in addition to domestic</t>
  </si>
  <si>
    <t>1.  Draft has inadeq IP rules, such t hat should delay to get things right  (+1 w/o delay part)</t>
  </si>
  <si>
    <t>Thesis</t>
  </si>
  <si>
    <t>3 things</t>
  </si>
  <si>
    <t>Rewrite</t>
  </si>
  <si>
    <t>3.  Rewrite:  1 pt max - addresses one of 3 things; .5 if not one of 3</t>
  </si>
  <si>
    <t>oversimplifies , i.e. break patent</t>
  </si>
  <si>
    <t>says treaty can't compel domestic law</t>
  </si>
  <si>
    <t>claim getting right first time is too subjective</t>
  </si>
  <si>
    <t>says should advocate what worked</t>
  </si>
  <si>
    <t>rewrite - domestic law fix</t>
  </si>
  <si>
    <t>suggest pandemic patents lic only thru MPP</t>
  </si>
  <si>
    <t>think MPP had volunt lic - WRONG</t>
  </si>
  <si>
    <t>dnt say need DELAY</t>
  </si>
  <si>
    <t>1.claim no CL???</t>
  </si>
  <si>
    <t>2. no expln pub $</t>
  </si>
  <si>
    <t>3. Dnt say TS law need amend</t>
  </si>
  <si>
    <t>Rewrite of CL - try to address PhRMA</t>
  </si>
  <si>
    <t>T: draft inadeq bc not all mech needed s.a. "mand lic, " TS exception, more CL; shouldn't adopt w/o sig revision</t>
  </si>
  <si>
    <t xml:space="preserve"> DOESN"T EXPLICTLY SAY DELAY</t>
  </si>
  <si>
    <t>1. bullet list too involved and could be more conicse; might suggest CL only for emergency and need clarific</t>
  </si>
  <si>
    <t>2. more clarity on what TRIPS waivers can anc can't do; lack of access to TS issues still an issue</t>
  </si>
  <si>
    <t>MISSING THAT MUST SAY LAW SHOULD COMPEL TS</t>
  </si>
  <si>
    <t>3. tone emo charged - NONISSUE</t>
  </si>
  <si>
    <t>Rewrie  of all 3, including evergreening, but that is irrelevant</t>
  </si>
  <si>
    <t>T: reluc by wealthy countries has an adverse effect…..NOTHING ABOUT ACTUAL AGREEMENT</t>
  </si>
  <si>
    <t>1. title confusing -claim apartheid not prominent theme</t>
  </si>
  <si>
    <t>POST 2:  NO More Vaccine Apartheid: Why the Pandemic Treaty needs stronger proteciton</t>
  </si>
  <si>
    <t>2. claims lang "P{andemic treaty that changes nothing" is wrong bc waiver was more than nothing</t>
  </si>
  <si>
    <t>3. Drill down on mandatory tech transfer; expln how might work would be better</t>
  </si>
  <si>
    <t>REWRITE</t>
  </si>
  <si>
    <t>title: how UN Timidity will water down WHO pandemic Treaty</t>
  </si>
  <si>
    <t>Peace clause rewrite - claim misleading?? - how tied to issues?</t>
  </si>
  <si>
    <t>T: draft too week to prevent another vaccine apartheid bc too much voluntary, so need aut waivers, mand tech transfer and "meaningful protec" if use TRIPS flex</t>
  </si>
  <si>
    <t>POST 2</t>
  </si>
  <si>
    <t>1. some claims too absolute for. Ablog - NO</t>
  </si>
  <si>
    <t>2. some parts could be sharpened; background treaty not tied ot thesis - YES</t>
  </si>
  <si>
    <t>3. more effec blog if more phramed for general aud</t>
  </si>
  <si>
    <t>rewrite of aut waiver of pandemic patents</t>
  </si>
  <si>
    <t>T: current draft inadeq to prevent vaccine inequity bc IP too weak and voluntary; need binding measures s.a…..</t>
  </si>
  <si>
    <t>notes mostly paras support thesis</t>
  </si>
  <si>
    <t>think IP waivers should ack manu capacity - NO</t>
  </si>
  <si>
    <t>says claim that IP bars anyone but patent owner overstated -No</t>
  </si>
  <si>
    <t>styole - some paras too long, intro not concise, some concepts (waiver, CL) should be more plain; tone sometimes rhetorical</t>
  </si>
  <si>
    <t>1. tigthen focus; elim background on treaty -= YES</t>
  </si>
  <si>
    <t>2. improve legal clarity, avoid overstating claims about IPR - NO</t>
  </si>
  <si>
    <t>3. enahnce readab ility and tone with shorter paras</t>
  </si>
  <si>
    <t>Intro focus</t>
  </si>
  <si>
    <t>don't realize that definitely privilege</t>
  </si>
  <si>
    <t>news article doesn’t' really focus on a privilege</t>
  </si>
  <si>
    <t>says lean privilege; article reflects privilege</t>
  </si>
  <si>
    <t>THINK MID vs. PhRMA article</t>
  </si>
  <si>
    <t>lean innov except life changing, but no expln why; article is solely priv medication</t>
  </si>
  <si>
    <t>article found more innovation tnan view</t>
  </si>
  <si>
    <t>calim innov; article not really relev (policy options to reduce drug costs</t>
  </si>
  <si>
    <t xml:space="preserve">priv; </t>
  </si>
  <si>
    <t xml:space="preserve">says middle, but discusses lack insuran ce; Article is OPPOSITE of view </t>
  </si>
  <si>
    <t>gravitate priv</t>
  </si>
  <si>
    <t xml:space="preserve">priv fxn of inv; </t>
  </si>
  <si>
    <t>priv view "closer"</t>
  </si>
  <si>
    <t>H/O - Community protection v. Ec Growth; half is about technology (open v. closed loop)</t>
  </si>
  <si>
    <t>H/O: Vandalism v. cultural value perspec; Graffit law examples; Bias and cultural competency</t>
  </si>
  <si>
    <t>H/O - no addl sources, but otherwise very good</t>
  </si>
  <si>
    <t>H/O - sources, but no perspec - what is SIU, legal problem and lists structural bias and racial impact</t>
  </si>
  <si>
    <t>H/O - QR links on 1981; 1st amendment and Runyon</t>
  </si>
  <si>
    <t>H/O - casting as K or expression with bullets and clear issue (is hiring only white men descrip); Claybrook case</t>
  </si>
  <si>
    <t>H/O - legislation timeline; Aut v. pub health perspec with examples; sources at bottom</t>
  </si>
  <si>
    <t>H/O- no addl sources; doesn’t' address whethewr should disclose water usage</t>
  </si>
  <si>
    <t>H/O - lists people and max benefits; issues, and restrictions</t>
  </si>
  <si>
    <t>H/O - sources inclued, but 25% is about one litigation which is disproportionate</t>
  </si>
  <si>
    <t>H/O - constraining or reformative - NO EXPLN WHAT PERSPEC ARE</t>
  </si>
  <si>
    <t>Board:  health perspec(restrict use) and Access perspec</t>
  </si>
  <si>
    <t>You paid for that Vaccine.</t>
  </si>
  <si>
    <t>T: pub funded research shd req CL for emergency</t>
  </si>
  <si>
    <t>So, Why Can't the world afford it?</t>
  </si>
  <si>
    <t>C: some confu between pat &amp; TS for moderna &amp; xln NA if TS</t>
  </si>
  <si>
    <t>Don't Let Congress Quietly Undo Drug Price Reform</t>
  </si>
  <si>
    <t>T: EPIC Act is problematic; should reject</t>
  </si>
  <si>
    <t>F: good headers; 9 links</t>
  </si>
  <si>
    <t>A: small molc "usu chem synth" might still be unclear</t>
  </si>
  <si>
    <t>pill penalty - calim consumers think they are penalized</t>
  </si>
  <si>
    <t>A: need more backgorund IRA, "two rounds nego</t>
  </si>
  <si>
    <t>notes EPIC untargeted at drugs that need more research; claim need targeted intervention --&gt; why? IRA not targeted for follow on</t>
  </si>
  <si>
    <t>good, but pretty straightforward</t>
  </si>
  <si>
    <t xml:space="preserve">GREAT JOB WITH TOPIC THAT WASN"T ONE </t>
  </si>
  <si>
    <t>F: good headers; intro ok, but not super-captivating</t>
  </si>
  <si>
    <t xml:space="preserve">How to protect the gneeric drug market in India </t>
  </si>
  <si>
    <t>T: DE is incrases drug prices, not reqd by TRIPS, but could show up via FTA; India should resist</t>
  </si>
  <si>
    <t>A LOT OF BKGD; WHICH FTA?; mentions EFTA and US, but no actual FTA yet</t>
  </si>
  <si>
    <t>A:  WHO/TRIPS assumed knowledge, but owise easy to read</t>
  </si>
  <si>
    <t>Intro:  starts with why care about DE</t>
  </si>
  <si>
    <t>C:  lots of background on generic drug approval; less on int'l context</t>
  </si>
  <si>
    <t xml:space="preserve">Ti:  descriptive </t>
  </si>
  <si>
    <t>Thesis- a lot of background</t>
  </si>
  <si>
    <r>
      <t xml:space="preserve">F: </t>
    </r>
    <r>
      <rPr>
        <sz val="12"/>
        <color theme="1"/>
        <rFont val="Aptos Narrow"/>
        <scheme val="minor"/>
      </rPr>
      <t>v easy to read; but headers not catchy</t>
    </r>
  </si>
  <si>
    <t>Quiet Threat to Affordable Drugs</t>
  </si>
  <si>
    <t>F: headers .but not catchy</t>
  </si>
  <si>
    <t>C: say rely on data to show generic bioequiv</t>
  </si>
  <si>
    <t>C:  submit clinical data (UNKNOWN) to reg authority</t>
  </si>
  <si>
    <t>Th:  India should resist DE in FTAs with EFTA and US (bc not reqd by TRIPS)</t>
  </si>
  <si>
    <t>C: says many countries rely on generic sfrom India w/o expln</t>
  </si>
  <si>
    <t>TH: India should reject DE in FTAs bc bad for many inclu beyond India</t>
  </si>
  <si>
    <t>Intro: doesn't work in suggesitng drugs presumably in US impacted by India DE</t>
  </si>
  <si>
    <t>seems to suggest probl if India DE bc other countries want, but irrelev if only one country req</t>
  </si>
  <si>
    <t>claims CL is real tool and have leverage to negotiate</t>
  </si>
  <si>
    <t>more discussed than Quiet threat, but overlcaiming and inaccuracies (cite Jordan example and DE)</t>
  </si>
  <si>
    <t>seems like rehash of post that I provided</t>
  </si>
  <si>
    <t>How TEPA MAY Raise Medicine Prices</t>
  </si>
  <si>
    <t>TH:India should avoid DE in EFTA and do cost sharing</t>
  </si>
  <si>
    <t>A: no expln cost sharing; EPA</t>
  </si>
  <si>
    <t>F: headers, but mostly descriptive</t>
  </si>
  <si>
    <t>definitely confusing at places; some don't make sense s.a. agreement promises tech transfer?</t>
  </si>
  <si>
    <t>In'l Law Promoting Exportion of Medicine Need Reform</t>
  </si>
  <si>
    <t>A Well intentioned provision</t>
  </si>
  <si>
    <t>Th:  Art 31bis needs to be amended to be simplified</t>
  </si>
  <si>
    <t>WRITTEN AS ONE PAGER NOT BLOG POST</t>
  </si>
  <si>
    <t>Ti:  descriptive</t>
  </si>
  <si>
    <t>3 links?</t>
  </si>
  <si>
    <t>think issue is no defn adeq remun?</t>
  </si>
  <si>
    <t>sorta vague - think issue is time consuming to cahnge domestic laws - not true if permit ANY patented product</t>
  </si>
  <si>
    <t>sorta unclear what saying about during COVID 31bis should have been valuable?  Why?</t>
  </si>
  <si>
    <t>NO RECOG THAT NOT JUST FOR WTO TO TAKE ACTION - COUNTRIES IN WTO MUST AGREE!!!</t>
  </si>
  <si>
    <t>C:  confusing and hard to follow in places</t>
  </si>
  <si>
    <t>AVG</t>
  </si>
  <si>
    <t>MINUS 1</t>
  </si>
  <si>
    <t>PLUS 1</t>
  </si>
  <si>
    <t>AVG = 82</t>
  </si>
  <si>
    <t>minus 1</t>
  </si>
  <si>
    <t>MINUS 2</t>
  </si>
  <si>
    <t>STd</t>
  </si>
  <si>
    <t>Plus one</t>
  </si>
  <si>
    <t>ID</t>
  </si>
  <si>
    <t>Wore Hat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</si>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</sst>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7030A0"/>
      <name val="Calibri"/>
      <family val="2"/>
    </font>
    <font>
      <sz val="12"/>
      <color rgb="FF7030A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7030A0"/>
      <name val="Aptos Narrow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2"/>
      <color theme="8" tint="-0.249977111117893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4" fillId="0" borderId="0" xfId="0" applyFont="1"/>
    <xf numFmtId="2" fontId="4" fillId="0" borderId="0" xfId="0" applyNumberFormat="1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2" borderId="2" xfId="0" applyFill="1" applyBorder="1" applyAlignment="1">
      <alignment vertical="top"/>
    </xf>
    <xf numFmtId="0" fontId="11" fillId="0" borderId="0" xfId="0" applyFont="1"/>
    <xf numFmtId="0" fontId="1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CBE2-C3CA-B546-9E58-37C20376FB26}">
  <dimension ref="A1:O26"/>
  <sheetViews>
    <sheetView tabSelected="1" workbookViewId="0">
      <selection activeCell="G20" sqref="G20"/>
    </sheetView>
  </sheetViews>
  <sheetFormatPr baseColWidth="10" defaultRowHeight="16" x14ac:dyDescent="0.2"/>
  <cols>
    <col min="2" max="2" width="9.6640625" customWidth="1"/>
    <col min="3" max="3" width="7.6640625" customWidth="1"/>
    <col min="4" max="4" width="2.5" customWidth="1"/>
    <col min="5" max="5" width="8" customWidth="1"/>
    <col min="6" max="7" width="9.33203125" customWidth="1"/>
    <col min="8" max="8" width="8.1640625" customWidth="1"/>
    <col min="9" max="9" width="10" customWidth="1"/>
    <col min="10" max="10" width="7" customWidth="1"/>
    <col min="11" max="11" width="5.33203125" customWidth="1"/>
    <col min="12" max="12" width="7.33203125" customWidth="1"/>
    <col min="13" max="13" width="6.1640625" customWidth="1"/>
    <col min="14" max="14" width="6.33203125" customWidth="1"/>
  </cols>
  <sheetData>
    <row r="1" spans="1:15" x14ac:dyDescent="0.2">
      <c r="A1" t="s">
        <v>322</v>
      </c>
      <c r="E1" s="1" t="s">
        <v>24</v>
      </c>
      <c r="F1" s="1" t="s">
        <v>25</v>
      </c>
      <c r="G1" s="1" t="s">
        <v>323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/>
    </row>
    <row r="2" spans="1:15" x14ac:dyDescent="0.2">
      <c r="E2" s="1">
        <v>15</v>
      </c>
      <c r="F2" s="1">
        <v>10</v>
      </c>
      <c r="G2" s="1"/>
      <c r="H2" s="1">
        <v>30</v>
      </c>
      <c r="I2" s="1">
        <v>20</v>
      </c>
      <c r="J2" s="1">
        <v>25</v>
      </c>
      <c r="K2" s="1">
        <v>2</v>
      </c>
      <c r="L2" s="1">
        <v>6</v>
      </c>
      <c r="M2" s="1">
        <f>SUM(E2:L2)</f>
        <v>108</v>
      </c>
      <c r="N2" s="1"/>
    </row>
    <row r="4" spans="1:15" x14ac:dyDescent="0.2">
      <c r="A4">
        <v>1</v>
      </c>
      <c r="B4" t="s">
        <v>4</v>
      </c>
      <c r="C4" t="s">
        <v>5</v>
      </c>
      <c r="E4">
        <v>13.946</v>
      </c>
      <c r="F4">
        <v>8.75</v>
      </c>
      <c r="G4" t="s">
        <v>324</v>
      </c>
      <c r="H4" s="4">
        <v>22.3</v>
      </c>
      <c r="I4">
        <v>17.3</v>
      </c>
      <c r="J4">
        <v>23.1</v>
      </c>
      <c r="K4">
        <v>2</v>
      </c>
      <c r="L4" s="18">
        <v>4.26</v>
      </c>
      <c r="M4" s="19">
        <f>SUM(E4:L4)</f>
        <v>91.655999999999992</v>
      </c>
    </row>
    <row r="5" spans="1:15" x14ac:dyDescent="0.2">
      <c r="A5">
        <v>2</v>
      </c>
      <c r="B5" t="s">
        <v>10</v>
      </c>
      <c r="C5" t="s">
        <v>11</v>
      </c>
      <c r="E5">
        <v>14.04</v>
      </c>
      <c r="F5">
        <v>7.75</v>
      </c>
      <c r="G5" t="s">
        <v>324</v>
      </c>
      <c r="H5" s="5">
        <v>22.4</v>
      </c>
      <c r="I5">
        <v>15.8</v>
      </c>
      <c r="J5">
        <v>23.1</v>
      </c>
      <c r="K5">
        <v>2</v>
      </c>
      <c r="L5" s="18">
        <v>4.26</v>
      </c>
      <c r="M5" s="19">
        <f>SUM(E5:L5)</f>
        <v>89.350000000000009</v>
      </c>
    </row>
    <row r="6" spans="1:15" x14ac:dyDescent="0.2">
      <c r="A6">
        <v>3</v>
      </c>
      <c r="B6" t="s">
        <v>82</v>
      </c>
      <c r="C6" t="s">
        <v>15</v>
      </c>
      <c r="E6">
        <v>12.343999999999999</v>
      </c>
      <c r="F6">
        <v>8.75</v>
      </c>
      <c r="G6" t="s">
        <v>325</v>
      </c>
      <c r="H6" s="5">
        <v>21.5</v>
      </c>
      <c r="I6">
        <v>16.47</v>
      </c>
      <c r="J6">
        <v>23.75</v>
      </c>
      <c r="K6">
        <v>2</v>
      </c>
      <c r="L6" s="18">
        <v>3.7</v>
      </c>
      <c r="M6" s="19">
        <f>SUM(E6:L6)</f>
        <v>88.513999999999996</v>
      </c>
      <c r="O6" t="s">
        <v>321</v>
      </c>
    </row>
    <row r="7" spans="1:15" x14ac:dyDescent="0.2">
      <c r="H7" s="5"/>
      <c r="L7" s="18"/>
      <c r="M7" s="19"/>
    </row>
    <row r="8" spans="1:15" x14ac:dyDescent="0.2">
      <c r="A8">
        <v>4</v>
      </c>
      <c r="B8" t="s">
        <v>20</v>
      </c>
      <c r="C8" t="s">
        <v>21</v>
      </c>
      <c r="E8">
        <v>13.79</v>
      </c>
      <c r="F8">
        <v>6</v>
      </c>
      <c r="G8" t="s">
        <v>325</v>
      </c>
      <c r="H8" s="5">
        <v>19.899999999999999</v>
      </c>
      <c r="I8">
        <v>15.6</v>
      </c>
      <c r="J8">
        <v>23.75</v>
      </c>
      <c r="K8">
        <v>2</v>
      </c>
      <c r="L8" s="18">
        <v>5.3</v>
      </c>
      <c r="M8" s="19">
        <f>SUM(E8:L8)</f>
        <v>86.339999999999989</v>
      </c>
    </row>
    <row r="9" spans="1:15" x14ac:dyDescent="0.2">
      <c r="A9">
        <v>5</v>
      </c>
      <c r="B9" t="s">
        <v>22</v>
      </c>
      <c r="C9" t="s">
        <v>23</v>
      </c>
      <c r="E9">
        <v>11.843999999999999</v>
      </c>
      <c r="F9">
        <v>8</v>
      </c>
      <c r="G9" t="s">
        <v>324</v>
      </c>
      <c r="H9" s="5">
        <v>23.5</v>
      </c>
      <c r="I9">
        <v>13.5</v>
      </c>
      <c r="J9">
        <v>22.25</v>
      </c>
      <c r="K9">
        <v>2</v>
      </c>
      <c r="L9" s="18">
        <v>4.9000000000000004</v>
      </c>
      <c r="M9" s="19">
        <f>SUM(E9:L9)</f>
        <v>85.994</v>
      </c>
    </row>
    <row r="10" spans="1:15" x14ac:dyDescent="0.2">
      <c r="A10">
        <v>6</v>
      </c>
      <c r="B10" t="s">
        <v>16</v>
      </c>
      <c r="C10" t="s">
        <v>17</v>
      </c>
      <c r="E10">
        <v>11.795999999999999</v>
      </c>
      <c r="F10">
        <v>7.5</v>
      </c>
      <c r="G10" t="s">
        <v>324</v>
      </c>
      <c r="H10" s="5">
        <v>23.5</v>
      </c>
      <c r="I10">
        <v>14</v>
      </c>
      <c r="J10">
        <v>22.25</v>
      </c>
      <c r="K10">
        <v>2</v>
      </c>
      <c r="L10" s="18">
        <v>4.9000000000000004</v>
      </c>
      <c r="M10" s="19">
        <f>SUM(E10:L10)</f>
        <v>85.945999999999998</v>
      </c>
    </row>
    <row r="11" spans="1:15" x14ac:dyDescent="0.2">
      <c r="A11">
        <v>7</v>
      </c>
      <c r="B11" t="s">
        <v>18</v>
      </c>
      <c r="C11" t="s">
        <v>19</v>
      </c>
      <c r="E11">
        <v>14.298</v>
      </c>
      <c r="F11">
        <v>8</v>
      </c>
      <c r="G11" t="s">
        <v>325</v>
      </c>
      <c r="H11" s="5">
        <v>22.4</v>
      </c>
      <c r="I11">
        <v>16.57</v>
      </c>
      <c r="J11">
        <v>22.65</v>
      </c>
      <c r="K11">
        <v>2</v>
      </c>
      <c r="L11" s="18"/>
      <c r="M11" s="19">
        <f>SUM(E11:L11)</f>
        <v>85.918000000000006</v>
      </c>
    </row>
    <row r="12" spans="1:15" x14ac:dyDescent="0.2">
      <c r="H12" s="5"/>
      <c r="L12" s="18"/>
      <c r="M12" s="19"/>
      <c r="O12" t="s">
        <v>317</v>
      </c>
    </row>
    <row r="13" spans="1:15" x14ac:dyDescent="0.2">
      <c r="A13">
        <v>8</v>
      </c>
      <c r="B13" t="s">
        <v>0</v>
      </c>
      <c r="C13" t="s">
        <v>1</v>
      </c>
      <c r="E13">
        <v>11.978</v>
      </c>
      <c r="F13">
        <v>5.75</v>
      </c>
      <c r="G13" t="s">
        <v>325</v>
      </c>
      <c r="H13" s="5">
        <v>22.4</v>
      </c>
      <c r="I13">
        <v>13.9</v>
      </c>
      <c r="J13">
        <v>22.65</v>
      </c>
      <c r="K13">
        <v>2</v>
      </c>
      <c r="L13" s="18">
        <v>3.15</v>
      </c>
      <c r="M13" s="19">
        <f>SUM(E13:L13)</f>
        <v>81.828000000000003</v>
      </c>
    </row>
    <row r="14" spans="1:15" x14ac:dyDescent="0.2">
      <c r="A14">
        <v>9</v>
      </c>
      <c r="B14" t="s">
        <v>2</v>
      </c>
      <c r="C14" t="s">
        <v>3</v>
      </c>
      <c r="E14">
        <v>13.54</v>
      </c>
      <c r="F14">
        <v>6.25</v>
      </c>
      <c r="G14" t="s">
        <v>324</v>
      </c>
      <c r="H14" s="5">
        <v>19.899999999999999</v>
      </c>
      <c r="I14">
        <v>15.45</v>
      </c>
      <c r="J14">
        <v>19.55</v>
      </c>
      <c r="K14">
        <v>2</v>
      </c>
      <c r="L14" s="18"/>
      <c r="M14" s="19">
        <f>SUM(E14:L14)</f>
        <v>76.69</v>
      </c>
    </row>
    <row r="15" spans="1:15" x14ac:dyDescent="0.2">
      <c r="H15" s="5"/>
      <c r="L15" s="18"/>
      <c r="M15" s="19"/>
      <c r="O15" t="s">
        <v>318</v>
      </c>
    </row>
    <row r="16" spans="1:15" x14ac:dyDescent="0.2">
      <c r="A16">
        <v>10</v>
      </c>
      <c r="B16" t="s">
        <v>6</v>
      </c>
      <c r="C16" t="s">
        <v>7</v>
      </c>
      <c r="E16">
        <v>13.398</v>
      </c>
      <c r="F16">
        <v>5.75</v>
      </c>
      <c r="G16" t="s">
        <v>324</v>
      </c>
      <c r="H16" s="5">
        <v>19.2</v>
      </c>
      <c r="I16">
        <v>12.3</v>
      </c>
      <c r="J16">
        <v>19.55</v>
      </c>
      <c r="K16">
        <v>2</v>
      </c>
      <c r="L16" s="18">
        <v>2.8</v>
      </c>
      <c r="M16" s="19">
        <f>SUM(E16:L16)</f>
        <v>74.99799999999999</v>
      </c>
    </row>
    <row r="17" spans="1:13" x14ac:dyDescent="0.2">
      <c r="A17">
        <v>11</v>
      </c>
      <c r="B17" t="s">
        <v>8</v>
      </c>
      <c r="C17" t="s">
        <v>9</v>
      </c>
      <c r="E17">
        <v>11.593999999999999</v>
      </c>
      <c r="F17">
        <v>7.75</v>
      </c>
      <c r="G17" t="s">
        <v>325</v>
      </c>
      <c r="H17" s="5">
        <v>19.2</v>
      </c>
      <c r="I17">
        <v>14.8</v>
      </c>
      <c r="J17">
        <v>15.3</v>
      </c>
      <c r="K17">
        <v>2</v>
      </c>
      <c r="L17" s="18">
        <v>3.8</v>
      </c>
      <c r="M17" s="19">
        <f>SUM(E17:L17)</f>
        <v>74.443999999999988</v>
      </c>
    </row>
    <row r="18" spans="1:13" x14ac:dyDescent="0.2">
      <c r="H18" s="5"/>
      <c r="L18" s="18"/>
      <c r="M18" s="19"/>
    </row>
    <row r="19" spans="1:13" x14ac:dyDescent="0.2">
      <c r="A19">
        <v>12</v>
      </c>
      <c r="B19" t="s">
        <v>12</v>
      </c>
      <c r="C19" t="s">
        <v>13</v>
      </c>
      <c r="E19">
        <v>9.5980000000000008</v>
      </c>
      <c r="F19">
        <v>7.25</v>
      </c>
      <c r="G19" t="s">
        <v>324</v>
      </c>
      <c r="H19" s="5">
        <v>21.5</v>
      </c>
      <c r="I19">
        <v>13.3</v>
      </c>
      <c r="J19">
        <v>15.3</v>
      </c>
      <c r="K19">
        <v>2</v>
      </c>
      <c r="L19" s="18"/>
      <c r="M19" s="19">
        <f>SUM(E19:L19)</f>
        <v>68.947999999999993</v>
      </c>
    </row>
    <row r="21" spans="1:13" x14ac:dyDescent="0.2">
      <c r="B21" t="s">
        <v>314</v>
      </c>
      <c r="M21">
        <f>AVERAGE(M4:M19)</f>
        <v>82.55216666666665</v>
      </c>
    </row>
    <row r="22" spans="1:13" x14ac:dyDescent="0.2">
      <c r="B22" t="s">
        <v>320</v>
      </c>
      <c r="M22">
        <f>STDEV(M4:M17)</f>
        <v>5.9543847617456764</v>
      </c>
    </row>
    <row r="24" spans="1:13" x14ac:dyDescent="0.2">
      <c r="B24" t="s">
        <v>315</v>
      </c>
      <c r="M24">
        <f>M21-M22</f>
        <v>76.597781904920978</v>
      </c>
    </row>
    <row r="25" spans="1:13" x14ac:dyDescent="0.2">
      <c r="B25" t="s">
        <v>319</v>
      </c>
      <c r="M25">
        <f>M24-M22</f>
        <v>70.643397143175306</v>
      </c>
    </row>
    <row r="26" spans="1:13" x14ac:dyDescent="0.2">
      <c r="B26" t="s">
        <v>316</v>
      </c>
      <c r="M26">
        <f>M21+M22</f>
        <v>88.506551428412322</v>
      </c>
    </row>
  </sheetData>
  <sortState xmlns:xlrd2="http://schemas.microsoft.com/office/spreadsheetml/2017/richdata2" ref="B4:M19">
    <sortCondition descending="1" ref="M4:M19"/>
  </sortState>
  <printOptions headings="1" gridLines="1"/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08DE-289B-F54C-B2AA-039FCFE1D7BA}">
  <dimension ref="A1:K31"/>
  <sheetViews>
    <sheetView workbookViewId="0">
      <selection activeCell="A20" sqref="A20:A31"/>
    </sheetView>
  </sheetViews>
  <sheetFormatPr baseColWidth="10" defaultRowHeight="16" x14ac:dyDescent="0.2"/>
  <cols>
    <col min="3" max="3" width="3" customWidth="1"/>
    <col min="4" max="4" width="6.5" customWidth="1"/>
    <col min="5" max="5" width="9.6640625" customWidth="1"/>
    <col min="6" max="6" width="10.83203125" customWidth="1"/>
    <col min="7" max="7" width="10" customWidth="1"/>
  </cols>
  <sheetData>
    <row r="1" spans="1:11" x14ac:dyDescent="0.2">
      <c r="D1" s="2" t="s">
        <v>37</v>
      </c>
      <c r="E1" s="2" t="s">
        <v>38</v>
      </c>
      <c r="F1" s="2" t="s">
        <v>39</v>
      </c>
      <c r="G1" s="2" t="s">
        <v>40</v>
      </c>
    </row>
    <row r="2" spans="1:11" x14ac:dyDescent="0.2">
      <c r="D2" s="2">
        <v>6</v>
      </c>
      <c r="E2" s="2">
        <v>3</v>
      </c>
      <c r="F2" s="2">
        <v>3</v>
      </c>
      <c r="G2" s="2">
        <v>3</v>
      </c>
      <c r="H2">
        <f>SUM(D2:G2)</f>
        <v>15</v>
      </c>
    </row>
    <row r="3" spans="1:11" x14ac:dyDescent="0.2">
      <c r="K3" t="s">
        <v>41</v>
      </c>
    </row>
    <row r="4" spans="1:11" x14ac:dyDescent="0.2">
      <c r="A4" t="s">
        <v>0</v>
      </c>
      <c r="B4" t="s">
        <v>1</v>
      </c>
      <c r="D4">
        <v>3.5</v>
      </c>
      <c r="E4">
        <v>2.7389999999999999</v>
      </c>
      <c r="F4" s="3">
        <v>2.7389999999999999</v>
      </c>
      <c r="G4">
        <v>3</v>
      </c>
      <c r="H4">
        <f t="shared" ref="H4:H15" si="0">SUM(D4:G4)</f>
        <v>11.978</v>
      </c>
      <c r="I4" t="s">
        <v>0</v>
      </c>
      <c r="K4" t="s">
        <v>46</v>
      </c>
    </row>
    <row r="5" spans="1:11" x14ac:dyDescent="0.2">
      <c r="A5" t="s">
        <v>2</v>
      </c>
      <c r="B5" t="s">
        <v>3</v>
      </c>
      <c r="D5">
        <v>5</v>
      </c>
      <c r="E5">
        <v>2.895</v>
      </c>
      <c r="F5" s="3">
        <v>2.895</v>
      </c>
      <c r="G5">
        <v>2.75</v>
      </c>
      <c r="H5">
        <f t="shared" si="0"/>
        <v>13.54</v>
      </c>
      <c r="I5" t="s">
        <v>2</v>
      </c>
      <c r="K5" t="s">
        <v>47</v>
      </c>
    </row>
    <row r="6" spans="1:11" x14ac:dyDescent="0.2">
      <c r="A6" t="s">
        <v>4</v>
      </c>
      <c r="B6" t="s">
        <v>5</v>
      </c>
      <c r="D6">
        <v>5</v>
      </c>
      <c r="E6">
        <v>2.9729999999999999</v>
      </c>
      <c r="F6" s="3">
        <v>2.9729999999999999</v>
      </c>
      <c r="G6">
        <v>3</v>
      </c>
      <c r="H6">
        <f t="shared" si="0"/>
        <v>13.946</v>
      </c>
      <c r="I6" t="s">
        <v>4</v>
      </c>
    </row>
    <row r="7" spans="1:11" x14ac:dyDescent="0.2">
      <c r="A7" t="s">
        <v>6</v>
      </c>
      <c r="B7" t="s">
        <v>7</v>
      </c>
      <c r="D7">
        <v>4.5</v>
      </c>
      <c r="E7">
        <v>2.9489999999999998</v>
      </c>
      <c r="F7" s="3">
        <v>2.9489999999999998</v>
      </c>
      <c r="G7">
        <v>3</v>
      </c>
      <c r="H7">
        <f t="shared" si="0"/>
        <v>13.398</v>
      </c>
      <c r="I7" t="s">
        <v>6</v>
      </c>
    </row>
    <row r="8" spans="1:11" x14ac:dyDescent="0.2">
      <c r="A8" t="s">
        <v>8</v>
      </c>
      <c r="B8" t="s">
        <v>9</v>
      </c>
      <c r="D8">
        <v>3</v>
      </c>
      <c r="E8">
        <v>2.9219999999999997</v>
      </c>
      <c r="F8" s="3">
        <v>2.9219999999999997</v>
      </c>
      <c r="G8">
        <v>2.75</v>
      </c>
      <c r="H8">
        <f t="shared" si="0"/>
        <v>11.593999999999999</v>
      </c>
      <c r="I8" t="s">
        <v>8</v>
      </c>
    </row>
    <row r="9" spans="1:11" x14ac:dyDescent="0.2">
      <c r="A9" t="s">
        <v>10</v>
      </c>
      <c r="B9" t="s">
        <v>11</v>
      </c>
      <c r="D9">
        <v>5.5</v>
      </c>
      <c r="E9">
        <v>2.895</v>
      </c>
      <c r="F9" s="3">
        <v>2.895</v>
      </c>
      <c r="G9">
        <v>2.75</v>
      </c>
      <c r="H9">
        <f t="shared" si="0"/>
        <v>14.04</v>
      </c>
      <c r="I9" t="s">
        <v>10</v>
      </c>
    </row>
    <row r="10" spans="1:11" x14ac:dyDescent="0.2">
      <c r="A10" t="s">
        <v>12</v>
      </c>
      <c r="B10" t="s">
        <v>13</v>
      </c>
      <c r="D10">
        <v>2</v>
      </c>
      <c r="E10">
        <v>2.3490000000000002</v>
      </c>
      <c r="F10" s="3">
        <v>2.3490000000000002</v>
      </c>
      <c r="G10">
        <v>2.9</v>
      </c>
      <c r="H10">
        <f t="shared" si="0"/>
        <v>9.5980000000000008</v>
      </c>
      <c r="I10" t="s">
        <v>12</v>
      </c>
    </row>
    <row r="11" spans="1:11" x14ac:dyDescent="0.2">
      <c r="A11" t="s">
        <v>14</v>
      </c>
      <c r="B11" t="s">
        <v>15</v>
      </c>
      <c r="D11">
        <v>3.5</v>
      </c>
      <c r="E11">
        <v>2.9219999999999997</v>
      </c>
      <c r="F11" s="3">
        <v>2.9219999999999997</v>
      </c>
      <c r="G11">
        <v>3</v>
      </c>
      <c r="H11">
        <f t="shared" si="0"/>
        <v>12.343999999999999</v>
      </c>
      <c r="I11" t="s">
        <v>14</v>
      </c>
    </row>
    <row r="12" spans="1:11" x14ac:dyDescent="0.2">
      <c r="A12" t="s">
        <v>16</v>
      </c>
      <c r="B12" t="s">
        <v>17</v>
      </c>
      <c r="D12">
        <v>3.5</v>
      </c>
      <c r="E12">
        <v>2.9729999999999999</v>
      </c>
      <c r="F12" s="3">
        <v>2.9729999999999999</v>
      </c>
      <c r="G12">
        <v>2.35</v>
      </c>
      <c r="H12">
        <f t="shared" si="0"/>
        <v>11.795999999999999</v>
      </c>
      <c r="I12" t="s">
        <v>16</v>
      </c>
    </row>
    <row r="13" spans="1:11" x14ac:dyDescent="0.2">
      <c r="A13" t="s">
        <v>18</v>
      </c>
      <c r="B13" t="s">
        <v>19</v>
      </c>
      <c r="D13">
        <v>5.5</v>
      </c>
      <c r="E13">
        <v>2.9489999999999998</v>
      </c>
      <c r="F13" s="3">
        <v>2.9489999999999998</v>
      </c>
      <c r="G13">
        <v>2.9</v>
      </c>
      <c r="H13">
        <f t="shared" si="0"/>
        <v>14.298</v>
      </c>
      <c r="I13" t="s">
        <v>18</v>
      </c>
    </row>
    <row r="14" spans="1:11" x14ac:dyDescent="0.2">
      <c r="A14" t="s">
        <v>20</v>
      </c>
      <c r="B14" t="s">
        <v>21</v>
      </c>
      <c r="D14">
        <v>5</v>
      </c>
      <c r="E14">
        <v>2.895</v>
      </c>
      <c r="F14" s="3">
        <v>2.895</v>
      </c>
      <c r="G14">
        <v>3</v>
      </c>
      <c r="H14">
        <f t="shared" si="0"/>
        <v>13.79</v>
      </c>
      <c r="I14" t="s">
        <v>20</v>
      </c>
    </row>
    <row r="15" spans="1:11" x14ac:dyDescent="0.2">
      <c r="A15" t="s">
        <v>22</v>
      </c>
      <c r="B15" t="s">
        <v>23</v>
      </c>
      <c r="D15">
        <v>3</v>
      </c>
      <c r="E15">
        <v>2.9219999999999997</v>
      </c>
      <c r="F15" s="3">
        <v>2.9219999999999997</v>
      </c>
      <c r="G15">
        <v>3</v>
      </c>
      <c r="H15">
        <f t="shared" si="0"/>
        <v>11.843999999999999</v>
      </c>
      <c r="I15" t="s">
        <v>22</v>
      </c>
    </row>
    <row r="16" spans="1:11" x14ac:dyDescent="0.2">
      <c r="F16" s="3"/>
    </row>
    <row r="17" spans="1:8" x14ac:dyDescent="0.2">
      <c r="D17" s="6" t="s">
        <v>44</v>
      </c>
      <c r="E17" s="6" t="s">
        <v>48</v>
      </c>
      <c r="F17" s="6" t="s">
        <v>49</v>
      </c>
      <c r="G17" s="6" t="s">
        <v>50</v>
      </c>
    </row>
    <row r="18" spans="1:8" x14ac:dyDescent="0.2">
      <c r="D18" s="6">
        <v>1</v>
      </c>
      <c r="E18" s="6">
        <v>0.4</v>
      </c>
      <c r="F18" s="7">
        <v>0.6</v>
      </c>
      <c r="G18" s="6">
        <v>1</v>
      </c>
    </row>
    <row r="19" spans="1:8" x14ac:dyDescent="0.2">
      <c r="F19" s="3"/>
    </row>
    <row r="20" spans="1:8" x14ac:dyDescent="0.2">
      <c r="A20" t="s">
        <v>0</v>
      </c>
      <c r="B20" t="s">
        <v>1</v>
      </c>
      <c r="D20">
        <v>1</v>
      </c>
      <c r="E20">
        <v>0.4</v>
      </c>
      <c r="F20">
        <v>0.6</v>
      </c>
      <c r="G20">
        <v>1</v>
      </c>
      <c r="H20">
        <f t="shared" ref="H20:H31" si="1">SUM(D20:G20)</f>
        <v>3</v>
      </c>
    </row>
    <row r="21" spans="1:8" x14ac:dyDescent="0.2">
      <c r="A21" t="s">
        <v>2</v>
      </c>
      <c r="B21" t="s">
        <v>3</v>
      </c>
      <c r="D21">
        <v>1</v>
      </c>
      <c r="E21">
        <v>0.4</v>
      </c>
      <c r="F21">
        <v>0.6</v>
      </c>
      <c r="G21">
        <v>0.75</v>
      </c>
      <c r="H21">
        <f t="shared" si="1"/>
        <v>2.75</v>
      </c>
    </row>
    <row r="22" spans="1:8" x14ac:dyDescent="0.2">
      <c r="A22" t="s">
        <v>4</v>
      </c>
      <c r="B22" t="s">
        <v>5</v>
      </c>
      <c r="D22">
        <v>1</v>
      </c>
      <c r="E22">
        <v>0.4</v>
      </c>
      <c r="F22">
        <v>0.6</v>
      </c>
      <c r="G22">
        <v>1</v>
      </c>
      <c r="H22">
        <f t="shared" si="1"/>
        <v>3</v>
      </c>
    </row>
    <row r="23" spans="1:8" x14ac:dyDescent="0.2">
      <c r="A23" t="s">
        <v>6</v>
      </c>
      <c r="B23" t="s">
        <v>7</v>
      </c>
      <c r="D23">
        <v>1</v>
      </c>
      <c r="E23">
        <v>0.4</v>
      </c>
      <c r="F23">
        <v>0.6</v>
      </c>
      <c r="G23">
        <v>1</v>
      </c>
      <c r="H23">
        <f t="shared" si="1"/>
        <v>3</v>
      </c>
    </row>
    <row r="24" spans="1:8" x14ac:dyDescent="0.2">
      <c r="A24" t="s">
        <v>8</v>
      </c>
      <c r="B24" t="s">
        <v>9</v>
      </c>
      <c r="D24">
        <v>0.75</v>
      </c>
      <c r="E24" s="9">
        <v>0.4</v>
      </c>
      <c r="F24">
        <v>0.6</v>
      </c>
      <c r="G24">
        <v>1</v>
      </c>
      <c r="H24">
        <f t="shared" si="1"/>
        <v>2.75</v>
      </c>
    </row>
    <row r="25" spans="1:8" x14ac:dyDescent="0.2">
      <c r="A25" t="s">
        <v>10</v>
      </c>
      <c r="B25" t="s">
        <v>11</v>
      </c>
      <c r="D25">
        <v>0.75</v>
      </c>
      <c r="E25" s="9">
        <v>0.4</v>
      </c>
      <c r="F25">
        <v>0.6</v>
      </c>
      <c r="G25">
        <v>1</v>
      </c>
      <c r="H25">
        <f t="shared" si="1"/>
        <v>2.75</v>
      </c>
    </row>
    <row r="26" spans="1:8" x14ac:dyDescent="0.2">
      <c r="A26" t="s">
        <v>12</v>
      </c>
      <c r="B26" t="s">
        <v>13</v>
      </c>
      <c r="D26">
        <v>1</v>
      </c>
      <c r="E26">
        <v>0.4</v>
      </c>
      <c r="F26">
        <v>0.5</v>
      </c>
      <c r="G26">
        <v>1</v>
      </c>
      <c r="H26">
        <f t="shared" si="1"/>
        <v>2.9</v>
      </c>
    </row>
    <row r="27" spans="1:8" x14ac:dyDescent="0.2">
      <c r="A27" t="s">
        <v>14</v>
      </c>
      <c r="B27" t="s">
        <v>15</v>
      </c>
      <c r="D27">
        <v>1</v>
      </c>
      <c r="E27" s="9">
        <v>0.4</v>
      </c>
      <c r="F27">
        <v>0.6</v>
      </c>
      <c r="G27">
        <v>1</v>
      </c>
      <c r="H27">
        <f t="shared" si="1"/>
        <v>3</v>
      </c>
    </row>
    <row r="28" spans="1:8" x14ac:dyDescent="0.2">
      <c r="A28" t="s">
        <v>16</v>
      </c>
      <c r="B28" t="s">
        <v>17</v>
      </c>
      <c r="D28">
        <v>0.9</v>
      </c>
      <c r="E28" s="9">
        <v>0.4</v>
      </c>
      <c r="F28" s="8">
        <v>0.3</v>
      </c>
      <c r="G28">
        <v>0.75</v>
      </c>
      <c r="H28">
        <f t="shared" si="1"/>
        <v>2.35</v>
      </c>
    </row>
    <row r="29" spans="1:8" x14ac:dyDescent="0.2">
      <c r="A29" t="s">
        <v>18</v>
      </c>
      <c r="B29" t="s">
        <v>19</v>
      </c>
      <c r="D29">
        <v>1</v>
      </c>
      <c r="E29">
        <v>0.4</v>
      </c>
      <c r="F29" s="8">
        <v>0.5</v>
      </c>
      <c r="G29">
        <v>1</v>
      </c>
      <c r="H29">
        <f t="shared" si="1"/>
        <v>2.9</v>
      </c>
    </row>
    <row r="30" spans="1:8" x14ac:dyDescent="0.2">
      <c r="A30" t="s">
        <v>20</v>
      </c>
      <c r="B30" t="s">
        <v>21</v>
      </c>
      <c r="D30">
        <v>1</v>
      </c>
      <c r="E30" s="9">
        <v>0.4</v>
      </c>
      <c r="F30">
        <v>0.6</v>
      </c>
      <c r="G30">
        <v>1</v>
      </c>
      <c r="H30">
        <f t="shared" si="1"/>
        <v>3</v>
      </c>
    </row>
    <row r="31" spans="1:8" x14ac:dyDescent="0.2">
      <c r="A31" t="s">
        <v>22</v>
      </c>
      <c r="B31" t="s">
        <v>23</v>
      </c>
      <c r="D31">
        <v>1</v>
      </c>
      <c r="E31" s="9">
        <v>0.4</v>
      </c>
      <c r="F31">
        <v>0.6</v>
      </c>
      <c r="G31">
        <v>1</v>
      </c>
      <c r="H31">
        <f t="shared" si="1"/>
        <v>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4F7B-3411-1D47-94D2-806F0B49F636}">
  <dimension ref="A1:I31"/>
  <sheetViews>
    <sheetView workbookViewId="0">
      <selection activeCell="H4" sqref="H4:H15"/>
    </sheetView>
  </sheetViews>
  <sheetFormatPr baseColWidth="10" defaultRowHeight="16" x14ac:dyDescent="0.2"/>
  <cols>
    <col min="3" max="3" width="4.33203125" customWidth="1"/>
    <col min="5" max="5" width="8.83203125" customWidth="1"/>
  </cols>
  <sheetData>
    <row r="1" spans="1:9" x14ac:dyDescent="0.2">
      <c r="D1" t="s">
        <v>33</v>
      </c>
      <c r="E1" t="s">
        <v>34</v>
      </c>
      <c r="F1" t="s">
        <v>35</v>
      </c>
      <c r="G1" t="s">
        <v>36</v>
      </c>
    </row>
    <row r="2" spans="1:9" x14ac:dyDescent="0.2">
      <c r="D2">
        <v>0.5</v>
      </c>
      <c r="E2">
        <v>2</v>
      </c>
      <c r="F2">
        <v>6</v>
      </c>
      <c r="G2">
        <v>1.5</v>
      </c>
      <c r="H2">
        <f>SUM(D2:G2)</f>
        <v>10</v>
      </c>
    </row>
    <row r="4" spans="1:9" x14ac:dyDescent="0.2">
      <c r="A4" t="s">
        <v>0</v>
      </c>
      <c r="B4" t="s">
        <v>1</v>
      </c>
      <c r="D4">
        <v>0.5</v>
      </c>
      <c r="E4" s="17">
        <v>1.75</v>
      </c>
      <c r="F4">
        <v>2</v>
      </c>
      <c r="G4">
        <v>1.5</v>
      </c>
      <c r="H4">
        <f t="shared" ref="H4:H15" si="0">SUM(D4:G4)</f>
        <v>5.75</v>
      </c>
      <c r="I4" t="s">
        <v>239</v>
      </c>
    </row>
    <row r="5" spans="1:9" x14ac:dyDescent="0.2">
      <c r="A5" t="s">
        <v>2</v>
      </c>
      <c r="B5" t="s">
        <v>3</v>
      </c>
      <c r="D5">
        <v>0.5</v>
      </c>
      <c r="E5" s="17">
        <v>1.75</v>
      </c>
      <c r="F5">
        <v>2.5</v>
      </c>
      <c r="G5">
        <v>1.5</v>
      </c>
      <c r="H5">
        <f t="shared" si="0"/>
        <v>6.25</v>
      </c>
      <c r="I5" t="s">
        <v>240</v>
      </c>
    </row>
    <row r="6" spans="1:9" x14ac:dyDescent="0.2">
      <c r="A6" t="s">
        <v>4</v>
      </c>
      <c r="B6" t="s">
        <v>5</v>
      </c>
      <c r="D6">
        <v>0.5</v>
      </c>
      <c r="E6">
        <v>2</v>
      </c>
      <c r="F6">
        <v>4.75</v>
      </c>
      <c r="G6">
        <v>1.5</v>
      </c>
      <c r="H6">
        <f t="shared" si="0"/>
        <v>8.75</v>
      </c>
      <c r="I6" t="s">
        <v>241</v>
      </c>
    </row>
    <row r="7" spans="1:9" x14ac:dyDescent="0.2">
      <c r="A7" t="s">
        <v>6</v>
      </c>
      <c r="B7" t="s">
        <v>7</v>
      </c>
      <c r="D7">
        <v>0.5</v>
      </c>
      <c r="E7" s="17">
        <v>1.25</v>
      </c>
      <c r="F7">
        <v>2.5</v>
      </c>
      <c r="G7">
        <v>1.5</v>
      </c>
      <c r="H7">
        <f t="shared" si="0"/>
        <v>5.75</v>
      </c>
      <c r="I7" t="s">
        <v>242</v>
      </c>
    </row>
    <row r="8" spans="1:9" x14ac:dyDescent="0.2">
      <c r="A8" t="s">
        <v>8</v>
      </c>
      <c r="B8" t="s">
        <v>9</v>
      </c>
      <c r="D8">
        <v>0.5</v>
      </c>
      <c r="E8" s="17">
        <v>1.5</v>
      </c>
      <c r="F8">
        <v>4.25</v>
      </c>
      <c r="G8">
        <v>1.5</v>
      </c>
      <c r="H8">
        <f t="shared" si="0"/>
        <v>7.75</v>
      </c>
      <c r="I8" t="s">
        <v>243</v>
      </c>
    </row>
    <row r="9" spans="1:9" x14ac:dyDescent="0.2">
      <c r="A9" t="s">
        <v>10</v>
      </c>
      <c r="B9" t="s">
        <v>11</v>
      </c>
      <c r="D9">
        <v>0.5</v>
      </c>
      <c r="E9" s="17">
        <v>1.75</v>
      </c>
      <c r="F9">
        <v>4</v>
      </c>
      <c r="G9">
        <v>1.5</v>
      </c>
      <c r="H9">
        <f t="shared" si="0"/>
        <v>7.75</v>
      </c>
      <c r="I9" t="s">
        <v>244</v>
      </c>
    </row>
    <row r="10" spans="1:9" x14ac:dyDescent="0.2">
      <c r="A10" t="s">
        <v>12</v>
      </c>
      <c r="B10" t="s">
        <v>13</v>
      </c>
      <c r="D10">
        <v>0.5</v>
      </c>
      <c r="E10" s="17">
        <v>0.75</v>
      </c>
      <c r="F10">
        <v>4.5</v>
      </c>
      <c r="G10">
        <v>1.5</v>
      </c>
      <c r="H10">
        <f t="shared" si="0"/>
        <v>7.25</v>
      </c>
      <c r="I10" t="s">
        <v>245</v>
      </c>
    </row>
    <row r="11" spans="1:9" x14ac:dyDescent="0.2">
      <c r="A11" t="s">
        <v>14</v>
      </c>
      <c r="B11" t="s">
        <v>15</v>
      </c>
      <c r="D11">
        <v>0.5</v>
      </c>
      <c r="E11">
        <v>2</v>
      </c>
      <c r="F11">
        <v>4.75</v>
      </c>
      <c r="G11">
        <v>1.5</v>
      </c>
      <c r="H11">
        <f t="shared" si="0"/>
        <v>8.75</v>
      </c>
      <c r="I11" t="s">
        <v>246</v>
      </c>
    </row>
    <row r="12" spans="1:9" x14ac:dyDescent="0.2">
      <c r="A12" t="s">
        <v>16</v>
      </c>
      <c r="B12" t="s">
        <v>17</v>
      </c>
      <c r="D12">
        <v>0.5</v>
      </c>
      <c r="E12" s="8">
        <v>1</v>
      </c>
      <c r="F12">
        <v>4.5</v>
      </c>
      <c r="G12">
        <v>1.5</v>
      </c>
      <c r="H12">
        <f t="shared" si="0"/>
        <v>7.5</v>
      </c>
      <c r="I12" t="s">
        <v>247</v>
      </c>
    </row>
    <row r="13" spans="1:9" x14ac:dyDescent="0.2">
      <c r="A13" t="s">
        <v>18</v>
      </c>
      <c r="B13" t="s">
        <v>19</v>
      </c>
      <c r="D13">
        <v>0.5</v>
      </c>
      <c r="E13">
        <v>2</v>
      </c>
      <c r="F13">
        <v>4</v>
      </c>
      <c r="G13">
        <v>1.5</v>
      </c>
      <c r="H13">
        <f t="shared" si="0"/>
        <v>8</v>
      </c>
      <c r="I13" t="s">
        <v>248</v>
      </c>
    </row>
    <row r="14" spans="1:9" x14ac:dyDescent="0.2">
      <c r="A14" t="s">
        <v>20</v>
      </c>
      <c r="B14" t="s">
        <v>21</v>
      </c>
      <c r="D14">
        <v>0.5</v>
      </c>
      <c r="E14">
        <v>2</v>
      </c>
      <c r="F14">
        <v>2</v>
      </c>
      <c r="G14">
        <v>1.5</v>
      </c>
      <c r="H14">
        <f t="shared" si="0"/>
        <v>6</v>
      </c>
      <c r="I14" t="s">
        <v>249</v>
      </c>
    </row>
    <row r="15" spans="1:9" x14ac:dyDescent="0.2">
      <c r="A15" t="s">
        <v>22</v>
      </c>
      <c r="B15" t="s">
        <v>23</v>
      </c>
      <c r="D15">
        <v>0.5</v>
      </c>
      <c r="E15">
        <v>1.75</v>
      </c>
      <c r="F15">
        <v>4.25</v>
      </c>
      <c r="G15">
        <v>1.5</v>
      </c>
      <c r="H15">
        <f t="shared" si="0"/>
        <v>8</v>
      </c>
      <c r="I15" t="s">
        <v>250</v>
      </c>
    </row>
    <row r="19" spans="1:8" x14ac:dyDescent="0.2">
      <c r="D19" t="s">
        <v>101</v>
      </c>
      <c r="H19" t="s">
        <v>112</v>
      </c>
    </row>
    <row r="20" spans="1:8" x14ac:dyDescent="0.2">
      <c r="A20" t="s">
        <v>0</v>
      </c>
      <c r="B20" t="s">
        <v>1</v>
      </c>
    </row>
    <row r="21" spans="1:8" x14ac:dyDescent="0.2">
      <c r="A21" t="s">
        <v>2</v>
      </c>
      <c r="B21" t="s">
        <v>3</v>
      </c>
    </row>
    <row r="22" spans="1:8" x14ac:dyDescent="0.2">
      <c r="A22" t="s">
        <v>4</v>
      </c>
      <c r="B22" t="s">
        <v>5</v>
      </c>
      <c r="D22" t="s">
        <v>102</v>
      </c>
    </row>
    <row r="23" spans="1:8" x14ac:dyDescent="0.2">
      <c r="A23" t="s">
        <v>6</v>
      </c>
      <c r="B23" t="s">
        <v>7</v>
      </c>
      <c r="D23" t="s">
        <v>103</v>
      </c>
      <c r="E23" t="s">
        <v>104</v>
      </c>
      <c r="H23">
        <v>1.25</v>
      </c>
    </row>
    <row r="24" spans="1:8" x14ac:dyDescent="0.2">
      <c r="A24" t="s">
        <v>8</v>
      </c>
      <c r="B24" t="s">
        <v>9</v>
      </c>
      <c r="D24" t="s">
        <v>105</v>
      </c>
    </row>
    <row r="25" spans="1:8" x14ac:dyDescent="0.2">
      <c r="A25" t="s">
        <v>10</v>
      </c>
      <c r="B25" t="s">
        <v>11</v>
      </c>
      <c r="D25" t="s">
        <v>106</v>
      </c>
    </row>
    <row r="26" spans="1:8" x14ac:dyDescent="0.2">
      <c r="A26" t="s">
        <v>12</v>
      </c>
      <c r="B26" t="s">
        <v>13</v>
      </c>
    </row>
    <row r="27" spans="1:8" x14ac:dyDescent="0.2">
      <c r="A27" t="s">
        <v>14</v>
      </c>
      <c r="B27" t="s">
        <v>15</v>
      </c>
      <c r="D27" t="s">
        <v>107</v>
      </c>
      <c r="E27" t="s">
        <v>108</v>
      </c>
    </row>
    <row r="28" spans="1:8" x14ac:dyDescent="0.2">
      <c r="A28" t="s">
        <v>16</v>
      </c>
      <c r="B28" t="s">
        <v>17</v>
      </c>
      <c r="E28" t="s">
        <v>109</v>
      </c>
    </row>
    <row r="29" spans="1:8" x14ac:dyDescent="0.2">
      <c r="A29" t="s">
        <v>18</v>
      </c>
      <c r="B29" t="s">
        <v>19</v>
      </c>
      <c r="D29" t="s">
        <v>110</v>
      </c>
    </row>
    <row r="30" spans="1:8" x14ac:dyDescent="0.2">
      <c r="A30" t="s">
        <v>20</v>
      </c>
      <c r="B30" t="s">
        <v>21</v>
      </c>
      <c r="E30" t="s">
        <v>111</v>
      </c>
    </row>
    <row r="31" spans="1:8" x14ac:dyDescent="0.2">
      <c r="A31" t="s">
        <v>22</v>
      </c>
      <c r="B31" t="s">
        <v>23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2159-2F1B-1C41-8D48-AE96684E3B1B}">
  <dimension ref="A1:X63"/>
  <sheetViews>
    <sheetView topLeftCell="A4" zoomScale="74" workbookViewId="0">
      <selection activeCell="X4" sqref="X4:X15"/>
    </sheetView>
  </sheetViews>
  <sheetFormatPr baseColWidth="10" defaultRowHeight="16" x14ac:dyDescent="0.2"/>
  <cols>
    <col min="2" max="2" width="6.83203125" customWidth="1"/>
    <col min="3" max="3" width="7.6640625" customWidth="1"/>
    <col min="4" max="4" width="7.1640625" customWidth="1"/>
    <col min="5" max="5" width="5.6640625" customWidth="1"/>
    <col min="6" max="6" width="1.6640625" customWidth="1"/>
  </cols>
  <sheetData>
    <row r="1" spans="1:24" x14ac:dyDescent="0.2">
      <c r="A1" t="s">
        <v>179</v>
      </c>
      <c r="K1" t="s">
        <v>180</v>
      </c>
    </row>
    <row r="2" spans="1:24" x14ac:dyDescent="0.2">
      <c r="K2" t="s">
        <v>182</v>
      </c>
    </row>
    <row r="3" spans="1:24" x14ac:dyDescent="0.2">
      <c r="B3" s="17" t="s">
        <v>193</v>
      </c>
      <c r="C3" s="17" t="s">
        <v>194</v>
      </c>
      <c r="D3" s="17" t="s">
        <v>195</v>
      </c>
      <c r="E3" s="17" t="s">
        <v>31</v>
      </c>
      <c r="K3" t="s">
        <v>181</v>
      </c>
    </row>
    <row r="4" spans="1:24" x14ac:dyDescent="0.2">
      <c r="B4" s="17">
        <v>2</v>
      </c>
      <c r="C4" s="17">
        <v>3</v>
      </c>
      <c r="D4" s="17">
        <v>1</v>
      </c>
      <c r="E4" s="17">
        <f>SUM(B4:D4)</f>
        <v>6</v>
      </c>
      <c r="K4" t="s">
        <v>196</v>
      </c>
      <c r="W4" t="s">
        <v>0</v>
      </c>
      <c r="X4">
        <v>2</v>
      </c>
    </row>
    <row r="5" spans="1:24" x14ac:dyDescent="0.2">
      <c r="W5" t="s">
        <v>2</v>
      </c>
      <c r="X5">
        <v>2.5</v>
      </c>
    </row>
    <row r="6" spans="1:24" x14ac:dyDescent="0.2">
      <c r="A6" t="s">
        <v>0</v>
      </c>
      <c r="B6">
        <v>1</v>
      </c>
      <c r="C6">
        <v>0.5</v>
      </c>
      <c r="D6">
        <v>0.5</v>
      </c>
      <c r="E6">
        <f>SUM(B6:D6)</f>
        <v>2</v>
      </c>
      <c r="G6" t="s">
        <v>197</v>
      </c>
      <c r="K6" t="s">
        <v>183</v>
      </c>
      <c r="W6" t="s">
        <v>4</v>
      </c>
      <c r="X6">
        <v>4.75</v>
      </c>
    </row>
    <row r="7" spans="1:24" x14ac:dyDescent="0.2">
      <c r="A7" t="s">
        <v>20</v>
      </c>
      <c r="G7" t="s">
        <v>198</v>
      </c>
      <c r="K7" t="s">
        <v>192</v>
      </c>
      <c r="W7" t="s">
        <v>6</v>
      </c>
      <c r="X7">
        <v>2.5</v>
      </c>
    </row>
    <row r="8" spans="1:24" x14ac:dyDescent="0.2">
      <c r="G8" t="s">
        <v>199</v>
      </c>
      <c r="K8" t="s">
        <v>185</v>
      </c>
      <c r="W8" t="s">
        <v>8</v>
      </c>
      <c r="X8">
        <v>4.25</v>
      </c>
    </row>
    <row r="9" spans="1:24" x14ac:dyDescent="0.2">
      <c r="G9" t="s">
        <v>200</v>
      </c>
      <c r="K9" t="s">
        <v>184</v>
      </c>
      <c r="W9" t="s">
        <v>10</v>
      </c>
      <c r="X9">
        <v>4</v>
      </c>
    </row>
    <row r="10" spans="1:24" x14ac:dyDescent="0.2">
      <c r="K10" t="s">
        <v>189</v>
      </c>
      <c r="W10" t="s">
        <v>12</v>
      </c>
      <c r="X10">
        <v>4.5</v>
      </c>
    </row>
    <row r="11" spans="1:24" x14ac:dyDescent="0.2">
      <c r="G11" t="s">
        <v>201</v>
      </c>
      <c r="K11" t="s">
        <v>186</v>
      </c>
      <c r="W11" t="s">
        <v>14</v>
      </c>
      <c r="X11">
        <v>4.75</v>
      </c>
    </row>
    <row r="12" spans="1:24" x14ac:dyDescent="0.2">
      <c r="G12" t="s">
        <v>202</v>
      </c>
      <c r="W12" t="s">
        <v>16</v>
      </c>
      <c r="X12">
        <v>4.5</v>
      </c>
    </row>
    <row r="13" spans="1:24" x14ac:dyDescent="0.2">
      <c r="G13" t="s">
        <v>203</v>
      </c>
      <c r="W13" t="s">
        <v>18</v>
      </c>
      <c r="X13">
        <v>4</v>
      </c>
    </row>
    <row r="14" spans="1:24" x14ac:dyDescent="0.2">
      <c r="K14" t="s">
        <v>225</v>
      </c>
      <c r="W14" t="s">
        <v>20</v>
      </c>
      <c r="X14">
        <v>2</v>
      </c>
    </row>
    <row r="15" spans="1:24" x14ac:dyDescent="0.2">
      <c r="K15" t="s">
        <v>187</v>
      </c>
      <c r="W15" t="s">
        <v>22</v>
      </c>
      <c r="X15">
        <v>4.25</v>
      </c>
    </row>
    <row r="16" spans="1:24" x14ac:dyDescent="0.2">
      <c r="A16" t="s">
        <v>18</v>
      </c>
      <c r="B16">
        <v>1.5</v>
      </c>
      <c r="C16">
        <v>1.5</v>
      </c>
      <c r="D16">
        <v>1</v>
      </c>
      <c r="E16">
        <f>SUM(B16:D16)</f>
        <v>4</v>
      </c>
      <c r="G16" t="s">
        <v>204</v>
      </c>
      <c r="K16" t="s">
        <v>188</v>
      </c>
    </row>
    <row r="17" spans="1:11" x14ac:dyDescent="0.2">
      <c r="A17" t="s">
        <v>10</v>
      </c>
      <c r="G17" t="s">
        <v>205</v>
      </c>
      <c r="K17" t="s">
        <v>190</v>
      </c>
    </row>
    <row r="18" spans="1:11" x14ac:dyDescent="0.2">
      <c r="G18" t="s">
        <v>206</v>
      </c>
      <c r="K18" t="s">
        <v>191</v>
      </c>
    </row>
    <row r="19" spans="1:11" x14ac:dyDescent="0.2">
      <c r="G19" t="s">
        <v>207</v>
      </c>
    </row>
    <row r="20" spans="1:11" x14ac:dyDescent="0.2">
      <c r="G20" t="s">
        <v>208</v>
      </c>
    </row>
    <row r="23" spans="1:11" x14ac:dyDescent="0.2">
      <c r="A23" t="s">
        <v>4</v>
      </c>
      <c r="B23">
        <v>2</v>
      </c>
      <c r="C23">
        <v>1.75</v>
      </c>
      <c r="D23">
        <v>1</v>
      </c>
      <c r="E23">
        <f>SUM(B23:D23)</f>
        <v>4.75</v>
      </c>
      <c r="G23" t="s">
        <v>209</v>
      </c>
    </row>
    <row r="24" spans="1:11" x14ac:dyDescent="0.2">
      <c r="A24" t="s">
        <v>82</v>
      </c>
      <c r="G24" t="s">
        <v>210</v>
      </c>
    </row>
    <row r="25" spans="1:11" x14ac:dyDescent="0.2">
      <c r="G25" t="s">
        <v>211</v>
      </c>
    </row>
    <row r="26" spans="1:11" x14ac:dyDescent="0.2">
      <c r="G26" t="s">
        <v>212</v>
      </c>
    </row>
    <row r="27" spans="1:11" x14ac:dyDescent="0.2">
      <c r="G27" t="s">
        <v>213</v>
      </c>
    </row>
    <row r="28" spans="1:11" x14ac:dyDescent="0.2">
      <c r="G28" t="s">
        <v>214</v>
      </c>
    </row>
    <row r="29" spans="1:11" x14ac:dyDescent="0.2">
      <c r="G29" t="s">
        <v>215</v>
      </c>
    </row>
    <row r="34" spans="1:7" x14ac:dyDescent="0.2">
      <c r="A34" t="s">
        <v>218</v>
      </c>
    </row>
    <row r="35" spans="1:7" x14ac:dyDescent="0.2">
      <c r="B35" s="17" t="s">
        <v>193</v>
      </c>
      <c r="C35" s="17" t="s">
        <v>194</v>
      </c>
      <c r="D35" s="17" t="s">
        <v>195</v>
      </c>
      <c r="E35" s="17" t="s">
        <v>31</v>
      </c>
    </row>
    <row r="36" spans="1:7" x14ac:dyDescent="0.2">
      <c r="B36" s="17">
        <v>2</v>
      </c>
      <c r="C36" s="17">
        <v>3</v>
      </c>
      <c r="D36" s="17">
        <v>1</v>
      </c>
      <c r="E36" s="17">
        <f>SUM(B36:D36)</f>
        <v>6</v>
      </c>
    </row>
    <row r="37" spans="1:7" x14ac:dyDescent="0.2">
      <c r="B37" s="17"/>
      <c r="C37" s="17"/>
      <c r="D37" s="17"/>
      <c r="E37" s="17"/>
    </row>
    <row r="38" spans="1:7" x14ac:dyDescent="0.2">
      <c r="A38" t="s">
        <v>2</v>
      </c>
      <c r="B38">
        <v>0.75</v>
      </c>
      <c r="C38">
        <v>1.25</v>
      </c>
      <c r="D38">
        <v>0.5</v>
      </c>
      <c r="E38">
        <f>SUM(B38:D38)</f>
        <v>2.5</v>
      </c>
      <c r="G38" t="s">
        <v>216</v>
      </c>
    </row>
    <row r="39" spans="1:7" x14ac:dyDescent="0.2">
      <c r="A39" t="s">
        <v>6</v>
      </c>
      <c r="G39" t="s">
        <v>217</v>
      </c>
    </row>
    <row r="40" spans="1:7" x14ac:dyDescent="0.2">
      <c r="G40" t="s">
        <v>219</v>
      </c>
    </row>
    <row r="41" spans="1:7" x14ac:dyDescent="0.2">
      <c r="G41" t="s">
        <v>220</v>
      </c>
    </row>
    <row r="42" spans="1:7" x14ac:dyDescent="0.2">
      <c r="G42" t="s">
        <v>221</v>
      </c>
    </row>
    <row r="43" spans="1:7" x14ac:dyDescent="0.2">
      <c r="G43" t="s">
        <v>222</v>
      </c>
    </row>
    <row r="44" spans="1:7" x14ac:dyDescent="0.2">
      <c r="G44" t="s">
        <v>223</v>
      </c>
    </row>
    <row r="47" spans="1:7" x14ac:dyDescent="0.2">
      <c r="A47" t="s">
        <v>8</v>
      </c>
      <c r="B47">
        <v>2</v>
      </c>
      <c r="C47">
        <v>1.75</v>
      </c>
      <c r="D47">
        <v>0.5</v>
      </c>
      <c r="E47">
        <f>SUM(B47:D47)</f>
        <v>4.25</v>
      </c>
      <c r="G47" t="s">
        <v>224</v>
      </c>
    </row>
    <row r="48" spans="1:7" x14ac:dyDescent="0.2">
      <c r="A48" t="s">
        <v>22</v>
      </c>
      <c r="G48" t="s">
        <v>226</v>
      </c>
    </row>
    <row r="49" spans="1:7" x14ac:dyDescent="0.2">
      <c r="G49" t="s">
        <v>227</v>
      </c>
    </row>
    <row r="50" spans="1:7" x14ac:dyDescent="0.2">
      <c r="G50" t="s">
        <v>228</v>
      </c>
    </row>
    <row r="51" spans="1:7" x14ac:dyDescent="0.2">
      <c r="G51" t="s">
        <v>221</v>
      </c>
    </row>
    <row r="52" spans="1:7" x14ac:dyDescent="0.2">
      <c r="G52" t="s">
        <v>229</v>
      </c>
    </row>
    <row r="54" spans="1:7" x14ac:dyDescent="0.2">
      <c r="A54" t="s">
        <v>12</v>
      </c>
      <c r="B54">
        <v>2</v>
      </c>
      <c r="C54">
        <v>1.5</v>
      </c>
      <c r="D54">
        <v>1</v>
      </c>
      <c r="E54">
        <f>SUM(B54:D54)</f>
        <v>4.5</v>
      </c>
      <c r="G54" t="s">
        <v>230</v>
      </c>
    </row>
    <row r="55" spans="1:7" x14ac:dyDescent="0.2">
      <c r="A55" t="s">
        <v>16</v>
      </c>
      <c r="G55" t="s">
        <v>231</v>
      </c>
    </row>
    <row r="56" spans="1:7" x14ac:dyDescent="0.2">
      <c r="G56" t="s">
        <v>233</v>
      </c>
    </row>
    <row r="57" spans="1:7" x14ac:dyDescent="0.2">
      <c r="G57" t="s">
        <v>232</v>
      </c>
    </row>
    <row r="58" spans="1:7" x14ac:dyDescent="0.2">
      <c r="G58" t="s">
        <v>234</v>
      </c>
    </row>
    <row r="59" spans="1:7" x14ac:dyDescent="0.2">
      <c r="G59" t="s">
        <v>235</v>
      </c>
    </row>
    <row r="60" spans="1:7" x14ac:dyDescent="0.2">
      <c r="G60" t="s">
        <v>236</v>
      </c>
    </row>
    <row r="61" spans="1:7" x14ac:dyDescent="0.2">
      <c r="G61" t="s">
        <v>237</v>
      </c>
    </row>
    <row r="62" spans="1:7" x14ac:dyDescent="0.2">
      <c r="G62" t="s">
        <v>221</v>
      </c>
    </row>
    <row r="63" spans="1:7" x14ac:dyDescent="0.2">
      <c r="G63" t="s">
        <v>238</v>
      </c>
    </row>
  </sheetData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3D9E-B5D4-0A40-99D6-F9712055405B}">
  <dimension ref="A1:D15"/>
  <sheetViews>
    <sheetView workbookViewId="0">
      <selection activeCell="A4" sqref="A4:A15"/>
    </sheetView>
  </sheetViews>
  <sheetFormatPr baseColWidth="10" defaultRowHeight="16" x14ac:dyDescent="0.2"/>
  <sheetData>
    <row r="1" spans="1:4" x14ac:dyDescent="0.2">
      <c r="A1" t="s">
        <v>45</v>
      </c>
    </row>
    <row r="4" spans="1:4" x14ac:dyDescent="0.2">
      <c r="A4" t="s">
        <v>0</v>
      </c>
      <c r="B4" t="s">
        <v>1</v>
      </c>
      <c r="D4" s="4">
        <v>22.4</v>
      </c>
    </row>
    <row r="5" spans="1:4" x14ac:dyDescent="0.2">
      <c r="A5" t="s">
        <v>2</v>
      </c>
      <c r="B5" t="s">
        <v>3</v>
      </c>
      <c r="D5" s="5">
        <v>19.899999999999999</v>
      </c>
    </row>
    <row r="6" spans="1:4" x14ac:dyDescent="0.2">
      <c r="A6" t="s">
        <v>4</v>
      </c>
      <c r="B6" t="s">
        <v>5</v>
      </c>
      <c r="D6" s="5">
        <v>22.3</v>
      </c>
    </row>
    <row r="7" spans="1:4" x14ac:dyDescent="0.2">
      <c r="A7" t="s">
        <v>6</v>
      </c>
      <c r="B7" t="s">
        <v>7</v>
      </c>
      <c r="D7" s="5">
        <v>19.2</v>
      </c>
    </row>
    <row r="8" spans="1:4" x14ac:dyDescent="0.2">
      <c r="A8" t="s">
        <v>8</v>
      </c>
      <c r="B8" t="s">
        <v>9</v>
      </c>
      <c r="D8" s="5">
        <v>19.2</v>
      </c>
    </row>
    <row r="9" spans="1:4" x14ac:dyDescent="0.2">
      <c r="A9" t="s">
        <v>10</v>
      </c>
      <c r="B9" t="s">
        <v>11</v>
      </c>
      <c r="D9" s="5">
        <v>22.4</v>
      </c>
    </row>
    <row r="10" spans="1:4" x14ac:dyDescent="0.2">
      <c r="A10" t="s">
        <v>12</v>
      </c>
      <c r="B10" t="s">
        <v>13</v>
      </c>
      <c r="D10" s="5">
        <v>21.5</v>
      </c>
    </row>
    <row r="11" spans="1:4" x14ac:dyDescent="0.2">
      <c r="A11" t="s">
        <v>14</v>
      </c>
      <c r="B11" t="s">
        <v>15</v>
      </c>
      <c r="D11" s="5">
        <v>21.5</v>
      </c>
    </row>
    <row r="12" spans="1:4" x14ac:dyDescent="0.2">
      <c r="A12" t="s">
        <v>16</v>
      </c>
      <c r="B12" t="s">
        <v>17</v>
      </c>
      <c r="D12" s="5">
        <v>23.5</v>
      </c>
    </row>
    <row r="13" spans="1:4" x14ac:dyDescent="0.2">
      <c r="A13" t="s">
        <v>18</v>
      </c>
      <c r="B13" t="s">
        <v>19</v>
      </c>
      <c r="D13" s="5">
        <v>22.4</v>
      </c>
    </row>
    <row r="14" spans="1:4" x14ac:dyDescent="0.2">
      <c r="A14" t="s">
        <v>20</v>
      </c>
      <c r="B14" t="s">
        <v>21</v>
      </c>
      <c r="D14" s="5">
        <v>19.899999999999999</v>
      </c>
    </row>
    <row r="15" spans="1:4" x14ac:dyDescent="0.2">
      <c r="A15" t="s">
        <v>22</v>
      </c>
      <c r="B15" t="s">
        <v>23</v>
      </c>
      <c r="D15" s="5">
        <v>23.5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1C42-2F89-854B-8F30-4AD2D89DE1CF}">
  <dimension ref="A1:G15"/>
  <sheetViews>
    <sheetView workbookViewId="0">
      <selection activeCell="G4" sqref="G4:G16"/>
    </sheetView>
  </sheetViews>
  <sheetFormatPr baseColWidth="10" defaultRowHeight="16" x14ac:dyDescent="0.2"/>
  <cols>
    <col min="3" max="3" width="4.1640625" customWidth="1"/>
    <col min="4" max="4" width="9" customWidth="1"/>
  </cols>
  <sheetData>
    <row r="1" spans="1:7" x14ac:dyDescent="0.2">
      <c r="D1" t="s">
        <v>43</v>
      </c>
      <c r="E1" t="s">
        <v>42</v>
      </c>
      <c r="F1" t="s">
        <v>32</v>
      </c>
    </row>
    <row r="2" spans="1:7" x14ac:dyDescent="0.2">
      <c r="D2">
        <v>5</v>
      </c>
      <c r="E2">
        <v>5</v>
      </c>
      <c r="F2">
        <v>10</v>
      </c>
    </row>
    <row r="4" spans="1:7" x14ac:dyDescent="0.2">
      <c r="A4" t="s">
        <v>0</v>
      </c>
      <c r="B4" t="s">
        <v>1</v>
      </c>
      <c r="D4" s="4">
        <v>3</v>
      </c>
      <c r="E4">
        <v>3.4</v>
      </c>
      <c r="F4">
        <v>7.5</v>
      </c>
      <c r="G4">
        <f t="shared" ref="G4:G15" si="0">SUM(D4:F4)</f>
        <v>13.9</v>
      </c>
    </row>
    <row r="5" spans="1:7" x14ac:dyDescent="0.2">
      <c r="A5" t="s">
        <v>2</v>
      </c>
      <c r="B5" t="s">
        <v>3</v>
      </c>
      <c r="D5" s="5">
        <v>3.5</v>
      </c>
      <c r="E5">
        <v>4</v>
      </c>
      <c r="F5">
        <v>7.95</v>
      </c>
      <c r="G5">
        <f t="shared" si="0"/>
        <v>15.45</v>
      </c>
    </row>
    <row r="6" spans="1:7" x14ac:dyDescent="0.2">
      <c r="A6" t="s">
        <v>4</v>
      </c>
      <c r="B6" t="s">
        <v>5</v>
      </c>
      <c r="D6" s="5">
        <v>4</v>
      </c>
      <c r="E6">
        <v>4.3</v>
      </c>
      <c r="F6">
        <v>9</v>
      </c>
      <c r="G6">
        <f t="shared" si="0"/>
        <v>17.3</v>
      </c>
    </row>
    <row r="7" spans="1:7" x14ac:dyDescent="0.2">
      <c r="A7" t="s">
        <v>6</v>
      </c>
      <c r="B7" t="s">
        <v>7</v>
      </c>
      <c r="D7" s="5">
        <v>3</v>
      </c>
      <c r="E7">
        <v>3.3</v>
      </c>
      <c r="F7">
        <v>6</v>
      </c>
      <c r="G7">
        <f t="shared" si="0"/>
        <v>12.3</v>
      </c>
    </row>
    <row r="8" spans="1:7" x14ac:dyDescent="0.2">
      <c r="A8" t="s">
        <v>8</v>
      </c>
      <c r="B8" t="s">
        <v>9</v>
      </c>
      <c r="D8" s="5">
        <v>3.3</v>
      </c>
      <c r="E8">
        <v>4.3</v>
      </c>
      <c r="F8">
        <v>7.2</v>
      </c>
      <c r="G8">
        <f t="shared" si="0"/>
        <v>14.8</v>
      </c>
    </row>
    <row r="9" spans="1:7" x14ac:dyDescent="0.2">
      <c r="A9" t="s">
        <v>10</v>
      </c>
      <c r="B9" t="s">
        <v>11</v>
      </c>
      <c r="D9" s="5">
        <v>3.5</v>
      </c>
      <c r="E9">
        <v>3.3</v>
      </c>
      <c r="F9">
        <v>9</v>
      </c>
      <c r="G9">
        <f t="shared" si="0"/>
        <v>15.8</v>
      </c>
    </row>
    <row r="10" spans="1:7" x14ac:dyDescent="0.2">
      <c r="A10" t="s">
        <v>12</v>
      </c>
      <c r="B10" t="s">
        <v>13</v>
      </c>
      <c r="D10" s="5">
        <v>4</v>
      </c>
      <c r="E10">
        <v>3.8</v>
      </c>
      <c r="F10">
        <v>5.5</v>
      </c>
      <c r="G10">
        <f t="shared" si="0"/>
        <v>13.3</v>
      </c>
    </row>
    <row r="11" spans="1:7" x14ac:dyDescent="0.2">
      <c r="A11" t="s">
        <v>14</v>
      </c>
      <c r="B11" t="s">
        <v>15</v>
      </c>
      <c r="D11" s="16">
        <v>4</v>
      </c>
      <c r="E11">
        <v>3.8</v>
      </c>
      <c r="F11">
        <v>8.67</v>
      </c>
      <c r="G11">
        <f t="shared" si="0"/>
        <v>16.47</v>
      </c>
    </row>
    <row r="12" spans="1:7" x14ac:dyDescent="0.2">
      <c r="A12" t="s">
        <v>16</v>
      </c>
      <c r="B12" t="s">
        <v>17</v>
      </c>
      <c r="D12" s="5">
        <v>3</v>
      </c>
      <c r="E12">
        <v>3.5</v>
      </c>
      <c r="F12">
        <v>7.5</v>
      </c>
      <c r="G12">
        <f t="shared" si="0"/>
        <v>14</v>
      </c>
    </row>
    <row r="13" spans="1:7" x14ac:dyDescent="0.2">
      <c r="A13" t="s">
        <v>18</v>
      </c>
      <c r="B13" t="s">
        <v>19</v>
      </c>
      <c r="D13" s="5">
        <v>4.5</v>
      </c>
      <c r="E13">
        <v>3.4</v>
      </c>
      <c r="F13">
        <v>8.67</v>
      </c>
      <c r="G13">
        <f t="shared" si="0"/>
        <v>16.57</v>
      </c>
    </row>
    <row r="14" spans="1:7" x14ac:dyDescent="0.2">
      <c r="A14" t="s">
        <v>20</v>
      </c>
      <c r="B14" t="s">
        <v>21</v>
      </c>
      <c r="D14" s="5">
        <v>4</v>
      </c>
      <c r="E14">
        <v>3</v>
      </c>
      <c r="F14">
        <v>8.6</v>
      </c>
      <c r="G14">
        <f t="shared" si="0"/>
        <v>15.6</v>
      </c>
    </row>
    <row r="15" spans="1:7" x14ac:dyDescent="0.2">
      <c r="A15" t="s">
        <v>22</v>
      </c>
      <c r="B15" t="s">
        <v>23</v>
      </c>
      <c r="D15" s="5">
        <v>3.4</v>
      </c>
      <c r="E15">
        <v>3</v>
      </c>
      <c r="F15">
        <v>7.1</v>
      </c>
      <c r="G15">
        <f t="shared" si="0"/>
        <v>13.5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095F-66BC-5149-A06C-A68BF4E333F4}">
  <dimension ref="A1:N84"/>
  <sheetViews>
    <sheetView topLeftCell="A32" workbookViewId="0">
      <selection activeCell="H73" sqref="H73:H84"/>
    </sheetView>
  </sheetViews>
  <sheetFormatPr baseColWidth="10" defaultRowHeight="16" x14ac:dyDescent="0.2"/>
  <cols>
    <col min="1" max="1" width="29.5" customWidth="1"/>
    <col min="2" max="2" width="7.5" customWidth="1"/>
    <col min="3" max="3" width="10.1640625" customWidth="1"/>
    <col min="4" max="4" width="8" customWidth="1"/>
    <col min="5" max="5" width="7.33203125" customWidth="1"/>
    <col min="6" max="6" width="8.1640625" customWidth="1"/>
    <col min="7" max="7" width="10.6640625" customWidth="1"/>
    <col min="8" max="8" width="6.1640625" customWidth="1"/>
  </cols>
  <sheetData>
    <row r="1" spans="1:12" x14ac:dyDescent="0.2">
      <c r="A1" t="s">
        <v>85</v>
      </c>
      <c r="C1" s="12" t="s">
        <v>92</v>
      </c>
      <c r="D1" s="12" t="s">
        <v>51</v>
      </c>
      <c r="E1" s="12" t="s">
        <v>87</v>
      </c>
      <c r="F1" s="12" t="s">
        <v>91</v>
      </c>
      <c r="G1" s="12" t="s">
        <v>93</v>
      </c>
      <c r="H1" s="12"/>
    </row>
    <row r="2" spans="1:12" x14ac:dyDescent="0.2">
      <c r="C2" s="12">
        <v>2.5</v>
      </c>
      <c r="D2" s="12">
        <v>4</v>
      </c>
      <c r="E2" s="12">
        <v>1.5</v>
      </c>
      <c r="F2" s="12">
        <v>1.5</v>
      </c>
      <c r="G2" s="12">
        <v>0.5</v>
      </c>
      <c r="H2" s="12">
        <f>SUM(C2:G2)</f>
        <v>10</v>
      </c>
      <c r="L2" s="13" t="s">
        <v>113</v>
      </c>
    </row>
    <row r="3" spans="1:12" x14ac:dyDescent="0.2">
      <c r="L3" t="s">
        <v>114</v>
      </c>
    </row>
    <row r="4" spans="1:12" x14ac:dyDescent="0.2">
      <c r="A4" s="1" t="s">
        <v>94</v>
      </c>
      <c r="C4">
        <v>1.7</v>
      </c>
      <c r="D4">
        <v>3</v>
      </c>
      <c r="E4">
        <v>0.6</v>
      </c>
      <c r="F4">
        <v>0.6</v>
      </c>
      <c r="G4">
        <v>0.1</v>
      </c>
      <c r="H4">
        <f>SUM(C4:G4)</f>
        <v>5.9999999999999991</v>
      </c>
      <c r="I4" t="s">
        <v>6</v>
      </c>
      <c r="L4" t="s">
        <v>115</v>
      </c>
    </row>
    <row r="5" spans="1:12" x14ac:dyDescent="0.2">
      <c r="A5" t="s">
        <v>118</v>
      </c>
      <c r="C5">
        <v>1.7</v>
      </c>
      <c r="D5">
        <v>2.5</v>
      </c>
      <c r="E5">
        <v>0.6</v>
      </c>
      <c r="F5">
        <v>0.6</v>
      </c>
      <c r="G5">
        <v>0.1</v>
      </c>
      <c r="H5">
        <f>SUM(C5:G5)</f>
        <v>5.4999999999999991</v>
      </c>
      <c r="I5" t="s">
        <v>12</v>
      </c>
      <c r="L5" t="s">
        <v>116</v>
      </c>
    </row>
    <row r="6" spans="1:12" x14ac:dyDescent="0.2">
      <c r="A6" t="s">
        <v>120</v>
      </c>
      <c r="L6" t="s">
        <v>117</v>
      </c>
    </row>
    <row r="7" spans="1:12" x14ac:dyDescent="0.2">
      <c r="A7" t="s">
        <v>121</v>
      </c>
      <c r="L7" t="s">
        <v>119</v>
      </c>
    </row>
    <row r="8" spans="1:12" x14ac:dyDescent="0.2">
      <c r="A8" s="14" t="s">
        <v>122</v>
      </c>
      <c r="I8" t="s">
        <v>129</v>
      </c>
    </row>
    <row r="9" spans="1:12" x14ac:dyDescent="0.2">
      <c r="A9" s="14" t="s">
        <v>128</v>
      </c>
      <c r="I9" t="s">
        <v>130</v>
      </c>
    </row>
    <row r="10" spans="1:12" x14ac:dyDescent="0.2">
      <c r="A10" t="s">
        <v>123</v>
      </c>
      <c r="L10" t="s">
        <v>126</v>
      </c>
    </row>
    <row r="11" spans="1:12" x14ac:dyDescent="0.2">
      <c r="A11" s="14" t="s">
        <v>124</v>
      </c>
    </row>
    <row r="12" spans="1:12" x14ac:dyDescent="0.2">
      <c r="A12" t="s">
        <v>125</v>
      </c>
    </row>
    <row r="13" spans="1:12" x14ac:dyDescent="0.2">
      <c r="A13" s="14" t="s">
        <v>127</v>
      </c>
    </row>
    <row r="14" spans="1:12" x14ac:dyDescent="0.2">
      <c r="A14" s="14"/>
    </row>
    <row r="15" spans="1:12" x14ac:dyDescent="0.2">
      <c r="A15" s="14"/>
    </row>
    <row r="16" spans="1:12" x14ac:dyDescent="0.2">
      <c r="A16" s="1" t="s">
        <v>143</v>
      </c>
      <c r="B16" s="1"/>
      <c r="C16">
        <v>2.4</v>
      </c>
      <c r="D16">
        <v>3.8</v>
      </c>
      <c r="E16">
        <v>0.9</v>
      </c>
      <c r="F16">
        <v>1.1000000000000001</v>
      </c>
      <c r="G16">
        <v>0.4</v>
      </c>
      <c r="H16">
        <f>SUM(C16:G16)</f>
        <v>8.6</v>
      </c>
      <c r="I16" t="s">
        <v>20</v>
      </c>
      <c r="K16" t="s">
        <v>139</v>
      </c>
    </row>
    <row r="17" spans="1:14" x14ac:dyDescent="0.2">
      <c r="A17" s="15" t="s">
        <v>144</v>
      </c>
      <c r="B17" s="1"/>
    </row>
    <row r="18" spans="1:14" x14ac:dyDescent="0.2">
      <c r="A18" s="14" t="s">
        <v>131</v>
      </c>
      <c r="C18">
        <v>1.9</v>
      </c>
      <c r="D18">
        <v>3</v>
      </c>
      <c r="E18">
        <v>0.76</v>
      </c>
      <c r="F18">
        <v>1</v>
      </c>
      <c r="G18">
        <v>0.4</v>
      </c>
      <c r="H18">
        <f>SUM(C18:G18)</f>
        <v>7.0600000000000005</v>
      </c>
      <c r="I18" t="s">
        <v>22</v>
      </c>
    </row>
    <row r="19" spans="1:14" x14ac:dyDescent="0.2">
      <c r="A19" s="14" t="s">
        <v>132</v>
      </c>
    </row>
    <row r="20" spans="1:14" x14ac:dyDescent="0.2">
      <c r="A20" s="14" t="s">
        <v>133</v>
      </c>
      <c r="I20" t="s">
        <v>141</v>
      </c>
    </row>
    <row r="21" spans="1:14" x14ac:dyDescent="0.2">
      <c r="A21" s="14" t="s">
        <v>134</v>
      </c>
      <c r="I21" t="s">
        <v>142</v>
      </c>
    </row>
    <row r="22" spans="1:14" x14ac:dyDescent="0.2">
      <c r="A22" s="14" t="s">
        <v>140</v>
      </c>
    </row>
    <row r="23" spans="1:14" x14ac:dyDescent="0.2">
      <c r="A23" s="14" t="s">
        <v>135</v>
      </c>
    </row>
    <row r="24" spans="1:14" x14ac:dyDescent="0.2">
      <c r="A24" s="14" t="s">
        <v>136</v>
      </c>
    </row>
    <row r="25" spans="1:14" x14ac:dyDescent="0.2">
      <c r="A25" s="14" t="s">
        <v>137</v>
      </c>
    </row>
    <row r="26" spans="1:14" x14ac:dyDescent="0.2">
      <c r="A26" s="14" t="s">
        <v>138</v>
      </c>
    </row>
    <row r="27" spans="1:14" x14ac:dyDescent="0.2">
      <c r="A27" s="14"/>
    </row>
    <row r="28" spans="1:14" x14ac:dyDescent="0.2">
      <c r="A28" s="14"/>
      <c r="M28" s="1"/>
      <c r="N28" s="1"/>
    </row>
    <row r="29" spans="1:14" x14ac:dyDescent="0.2">
      <c r="A29" s="1" t="s">
        <v>95</v>
      </c>
      <c r="B29" s="1"/>
      <c r="C29">
        <v>2</v>
      </c>
      <c r="D29">
        <v>3.4</v>
      </c>
      <c r="E29">
        <v>1</v>
      </c>
      <c r="F29">
        <v>1.3</v>
      </c>
      <c r="G29">
        <v>0.25</v>
      </c>
      <c r="H29">
        <f>SUM(C29:G29)</f>
        <v>7.95</v>
      </c>
      <c r="I29" t="s">
        <v>2</v>
      </c>
    </row>
    <row r="30" spans="1:14" x14ac:dyDescent="0.2">
      <c r="A30" s="14" t="s">
        <v>145</v>
      </c>
      <c r="C30">
        <v>1.6</v>
      </c>
      <c r="D30">
        <v>3</v>
      </c>
      <c r="E30">
        <v>1</v>
      </c>
      <c r="F30">
        <v>1.3</v>
      </c>
      <c r="G30">
        <v>0.3</v>
      </c>
      <c r="H30">
        <f>SUM(C30:G30)</f>
        <v>7.1999999999999993</v>
      </c>
      <c r="I30" t="s">
        <v>8</v>
      </c>
    </row>
    <row r="31" spans="1:14" x14ac:dyDescent="0.2">
      <c r="A31" s="14" t="s">
        <v>146</v>
      </c>
    </row>
    <row r="32" spans="1:14" x14ac:dyDescent="0.2">
      <c r="A32" s="14" t="s">
        <v>147</v>
      </c>
      <c r="I32" t="s">
        <v>152</v>
      </c>
    </row>
    <row r="33" spans="1:13" x14ac:dyDescent="0.2">
      <c r="A33" s="14" t="s">
        <v>148</v>
      </c>
      <c r="I33" t="s">
        <v>153</v>
      </c>
    </row>
    <row r="34" spans="1:13" x14ac:dyDescent="0.2">
      <c r="A34" s="14" t="s">
        <v>149</v>
      </c>
    </row>
    <row r="35" spans="1:13" x14ac:dyDescent="0.2">
      <c r="A35" s="14" t="s">
        <v>150</v>
      </c>
    </row>
    <row r="36" spans="1:13" x14ac:dyDescent="0.2">
      <c r="A36" s="14" t="s">
        <v>151</v>
      </c>
    </row>
    <row r="37" spans="1:13" x14ac:dyDescent="0.2">
      <c r="A37" s="14"/>
      <c r="M37" t="s">
        <v>158</v>
      </c>
    </row>
    <row r="38" spans="1:13" x14ac:dyDescent="0.2">
      <c r="A38" s="14"/>
      <c r="M38" t="s">
        <v>161</v>
      </c>
    </row>
    <row r="39" spans="1:13" x14ac:dyDescent="0.2">
      <c r="A39" s="1" t="s">
        <v>96</v>
      </c>
      <c r="C39">
        <v>2</v>
      </c>
      <c r="D39">
        <v>2.7</v>
      </c>
      <c r="E39">
        <v>1.4</v>
      </c>
      <c r="F39">
        <v>1.2</v>
      </c>
      <c r="G39">
        <v>0.2</v>
      </c>
      <c r="H39">
        <f>SUM(C39:G39)</f>
        <v>7.5</v>
      </c>
      <c r="I39" t="s">
        <v>16</v>
      </c>
      <c r="M39" t="s">
        <v>175</v>
      </c>
    </row>
    <row r="40" spans="1:13" x14ac:dyDescent="0.2">
      <c r="A40" s="1" t="s">
        <v>97</v>
      </c>
      <c r="I40" t="s">
        <v>0</v>
      </c>
    </row>
    <row r="41" spans="1:13" x14ac:dyDescent="0.2">
      <c r="A41" s="14" t="s">
        <v>155</v>
      </c>
    </row>
    <row r="42" spans="1:13" x14ac:dyDescent="0.2">
      <c r="A42" s="14" t="s">
        <v>154</v>
      </c>
    </row>
    <row r="43" spans="1:13" x14ac:dyDescent="0.2">
      <c r="A43" s="14" t="s">
        <v>156</v>
      </c>
    </row>
    <row r="44" spans="1:13" x14ac:dyDescent="0.2">
      <c r="A44" s="14" t="s">
        <v>157</v>
      </c>
    </row>
    <row r="45" spans="1:13" x14ac:dyDescent="0.2">
      <c r="A45" s="14" t="s">
        <v>159</v>
      </c>
    </row>
    <row r="46" spans="1:13" x14ac:dyDescent="0.2">
      <c r="A46" s="14" t="s">
        <v>164</v>
      </c>
    </row>
    <row r="47" spans="1:13" x14ac:dyDescent="0.2">
      <c r="A47" s="14" t="s">
        <v>160</v>
      </c>
    </row>
    <row r="48" spans="1:13" x14ac:dyDescent="0.2">
      <c r="A48" s="14" t="s">
        <v>162</v>
      </c>
    </row>
    <row r="49" spans="1:9" x14ac:dyDescent="0.2">
      <c r="A49" s="14" t="s">
        <v>163</v>
      </c>
    </row>
    <row r="50" spans="1:9" x14ac:dyDescent="0.2">
      <c r="A50" s="14"/>
    </row>
    <row r="51" spans="1:9" x14ac:dyDescent="0.2">
      <c r="A51" s="14"/>
    </row>
    <row r="52" spans="1:9" x14ac:dyDescent="0.2">
      <c r="A52" s="1" t="s">
        <v>98</v>
      </c>
      <c r="B52" s="1"/>
      <c r="C52">
        <v>2.2000000000000002</v>
      </c>
      <c r="D52">
        <v>3.5</v>
      </c>
      <c r="E52">
        <v>1.5</v>
      </c>
      <c r="F52">
        <v>1.5</v>
      </c>
      <c r="G52">
        <v>0.3</v>
      </c>
      <c r="H52">
        <f>SUM(C52:G52)</f>
        <v>9</v>
      </c>
      <c r="I52" t="s">
        <v>4</v>
      </c>
    </row>
    <row r="53" spans="1:9" x14ac:dyDescent="0.2">
      <c r="A53" s="14" t="s">
        <v>165</v>
      </c>
      <c r="I53" t="s">
        <v>10</v>
      </c>
    </row>
    <row r="54" spans="1:9" x14ac:dyDescent="0.2">
      <c r="A54" s="14" t="s">
        <v>166</v>
      </c>
    </row>
    <row r="55" spans="1:9" x14ac:dyDescent="0.2">
      <c r="A55" s="14" t="s">
        <v>167</v>
      </c>
    </row>
    <row r="56" spans="1:9" x14ac:dyDescent="0.2">
      <c r="A56" s="14" t="s">
        <v>169</v>
      </c>
    </row>
    <row r="57" spans="1:9" x14ac:dyDescent="0.2">
      <c r="A57" s="14" t="s">
        <v>168</v>
      </c>
    </row>
    <row r="58" spans="1:9" x14ac:dyDescent="0.2">
      <c r="A58" s="14" t="s">
        <v>170</v>
      </c>
    </row>
    <row r="61" spans="1:9" x14ac:dyDescent="0.2">
      <c r="A61" s="1" t="s">
        <v>99</v>
      </c>
      <c r="B61" s="1"/>
      <c r="C61">
        <v>2.2000000000000002</v>
      </c>
      <c r="D61">
        <v>3.7</v>
      </c>
      <c r="E61">
        <v>1.1200000000000001</v>
      </c>
      <c r="F61">
        <v>1.3</v>
      </c>
      <c r="G61">
        <v>0.35</v>
      </c>
      <c r="H61">
        <f>SUM(C61:G61)</f>
        <v>8.67</v>
      </c>
      <c r="I61" t="s">
        <v>57</v>
      </c>
    </row>
    <row r="62" spans="1:9" x14ac:dyDescent="0.2">
      <c r="A62" s="1" t="s">
        <v>100</v>
      </c>
      <c r="B62" s="1"/>
      <c r="I62" t="s">
        <v>178</v>
      </c>
    </row>
    <row r="63" spans="1:9" x14ac:dyDescent="0.2">
      <c r="A63" t="s">
        <v>172</v>
      </c>
    </row>
    <row r="64" spans="1:9" x14ac:dyDescent="0.2">
      <c r="A64" t="s">
        <v>171</v>
      </c>
    </row>
    <row r="65" spans="1:9" x14ac:dyDescent="0.2">
      <c r="A65" t="s">
        <v>173</v>
      </c>
    </row>
    <row r="66" spans="1:9" x14ac:dyDescent="0.2">
      <c r="A66" t="s">
        <v>174</v>
      </c>
    </row>
    <row r="67" spans="1:9" x14ac:dyDescent="0.2">
      <c r="A67" t="s">
        <v>176</v>
      </c>
    </row>
    <row r="68" spans="1:9" x14ac:dyDescent="0.2">
      <c r="A68" t="s">
        <v>177</v>
      </c>
    </row>
    <row r="70" spans="1:9" x14ac:dyDescent="0.2">
      <c r="C70" s="12" t="s">
        <v>92</v>
      </c>
      <c r="D70" s="12" t="s">
        <v>51</v>
      </c>
      <c r="E70" s="12" t="s">
        <v>87</v>
      </c>
      <c r="F70" s="12" t="s">
        <v>91</v>
      </c>
      <c r="G70" s="12" t="s">
        <v>93</v>
      </c>
      <c r="H70" s="12"/>
    </row>
    <row r="71" spans="1:9" x14ac:dyDescent="0.2">
      <c r="C71" s="12">
        <v>2.5</v>
      </c>
      <c r="D71" s="12">
        <v>4</v>
      </c>
      <c r="E71" s="12">
        <v>1.5</v>
      </c>
      <c r="F71" s="12">
        <v>1.5</v>
      </c>
      <c r="G71" s="12">
        <v>0.5</v>
      </c>
      <c r="H71" s="12">
        <f>SUM(C71:G71)</f>
        <v>10</v>
      </c>
    </row>
    <row r="73" spans="1:9" x14ac:dyDescent="0.2">
      <c r="H73">
        <v>7.5</v>
      </c>
      <c r="I73" t="s">
        <v>0</v>
      </c>
    </row>
    <row r="74" spans="1:9" x14ac:dyDescent="0.2">
      <c r="H74">
        <v>7.95</v>
      </c>
      <c r="I74" t="s">
        <v>2</v>
      </c>
    </row>
    <row r="75" spans="1:9" x14ac:dyDescent="0.2">
      <c r="H75">
        <v>9</v>
      </c>
      <c r="I75" t="s">
        <v>4</v>
      </c>
    </row>
    <row r="76" spans="1:9" x14ac:dyDescent="0.2">
      <c r="H76">
        <v>6</v>
      </c>
      <c r="I76" t="s">
        <v>6</v>
      </c>
    </row>
    <row r="77" spans="1:9" x14ac:dyDescent="0.2">
      <c r="H77">
        <v>7.2</v>
      </c>
      <c r="I77" t="s">
        <v>8</v>
      </c>
    </row>
    <row r="78" spans="1:9" x14ac:dyDescent="0.2">
      <c r="H78">
        <v>9</v>
      </c>
      <c r="I78" t="s">
        <v>10</v>
      </c>
    </row>
    <row r="79" spans="1:9" x14ac:dyDescent="0.2">
      <c r="H79">
        <v>5.5</v>
      </c>
      <c r="I79" t="s">
        <v>12</v>
      </c>
    </row>
    <row r="80" spans="1:9" x14ac:dyDescent="0.2">
      <c r="H80">
        <v>8.67</v>
      </c>
      <c r="I80" t="s">
        <v>14</v>
      </c>
    </row>
    <row r="81" spans="8:9" x14ac:dyDescent="0.2">
      <c r="H81">
        <v>7.5</v>
      </c>
      <c r="I81" t="s">
        <v>16</v>
      </c>
    </row>
    <row r="82" spans="8:9" x14ac:dyDescent="0.2">
      <c r="H82">
        <v>8.67</v>
      </c>
      <c r="I82" t="s">
        <v>18</v>
      </c>
    </row>
    <row r="83" spans="8:9" x14ac:dyDescent="0.2">
      <c r="H83">
        <v>8.6</v>
      </c>
      <c r="I83" t="s">
        <v>20</v>
      </c>
    </row>
    <row r="84" spans="8:9" x14ac:dyDescent="0.2">
      <c r="H84">
        <v>7.1</v>
      </c>
      <c r="I84" t="s">
        <v>22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716D-C588-F746-9B41-F717D9D6D824}">
  <dimension ref="A1:K57"/>
  <sheetViews>
    <sheetView workbookViewId="0">
      <selection activeCell="W31" sqref="W31"/>
    </sheetView>
  </sheetViews>
  <sheetFormatPr baseColWidth="10" defaultRowHeight="16" x14ac:dyDescent="0.2"/>
  <cols>
    <col min="1" max="1" width="2.6640625" customWidth="1"/>
    <col min="4" max="4" width="7.1640625" customWidth="1"/>
    <col min="5" max="5" width="4.83203125" customWidth="1"/>
    <col min="6" max="6" width="8.33203125" customWidth="1"/>
    <col min="7" max="7" width="7.33203125" customWidth="1"/>
    <col min="8" max="8" width="6" customWidth="1"/>
    <col min="9" max="9" width="6.6640625" customWidth="1"/>
  </cols>
  <sheetData>
    <row r="1" spans="2:11" x14ac:dyDescent="0.2">
      <c r="D1" t="s">
        <v>51</v>
      </c>
      <c r="E1" t="s">
        <v>52</v>
      </c>
      <c r="F1" t="s">
        <v>28</v>
      </c>
      <c r="G1" t="s">
        <v>53</v>
      </c>
      <c r="H1" t="s">
        <v>54</v>
      </c>
      <c r="I1" t="s">
        <v>31</v>
      </c>
    </row>
    <row r="2" spans="2:11" x14ac:dyDescent="0.2">
      <c r="D2" s="6">
        <v>10</v>
      </c>
      <c r="E2" s="6">
        <v>5</v>
      </c>
      <c r="F2" s="6">
        <v>5</v>
      </c>
      <c r="G2" s="6">
        <v>2.5</v>
      </c>
      <c r="H2" s="6">
        <v>2.5</v>
      </c>
      <c r="I2">
        <f>SUM(D2:H2)</f>
        <v>25</v>
      </c>
    </row>
    <row r="4" spans="2:11" x14ac:dyDescent="0.2">
      <c r="B4" s="1" t="s">
        <v>0</v>
      </c>
      <c r="C4" t="s">
        <v>55</v>
      </c>
      <c r="D4">
        <v>9</v>
      </c>
      <c r="E4">
        <v>5</v>
      </c>
      <c r="F4">
        <v>4.25</v>
      </c>
      <c r="G4">
        <v>2.5</v>
      </c>
      <c r="H4">
        <v>1.9</v>
      </c>
      <c r="I4">
        <f>SUM(D4:H4)</f>
        <v>22.65</v>
      </c>
      <c r="K4" t="s">
        <v>56</v>
      </c>
    </row>
    <row r="5" spans="2:11" x14ac:dyDescent="0.2">
      <c r="B5" t="s">
        <v>57</v>
      </c>
      <c r="K5" t="s">
        <v>58</v>
      </c>
    </row>
    <row r="6" spans="2:11" x14ac:dyDescent="0.2">
      <c r="K6" t="s">
        <v>59</v>
      </c>
    </row>
    <row r="7" spans="2:11" x14ac:dyDescent="0.2">
      <c r="K7" t="s">
        <v>252</v>
      </c>
    </row>
    <row r="8" spans="2:11" x14ac:dyDescent="0.2">
      <c r="K8" t="s">
        <v>253</v>
      </c>
    </row>
    <row r="10" spans="2:11" x14ac:dyDescent="0.2">
      <c r="B10" s="1" t="s">
        <v>10</v>
      </c>
      <c r="C10" t="s">
        <v>60</v>
      </c>
      <c r="D10">
        <v>9.5</v>
      </c>
      <c r="E10">
        <v>5</v>
      </c>
      <c r="F10">
        <v>4.5</v>
      </c>
      <c r="G10">
        <v>2.5</v>
      </c>
      <c r="H10">
        <v>1.6</v>
      </c>
      <c r="I10">
        <f>SUM(D10:H10)</f>
        <v>23.1</v>
      </c>
      <c r="K10" t="s">
        <v>61</v>
      </c>
    </row>
    <row r="11" spans="2:11" x14ac:dyDescent="0.2">
      <c r="B11" t="s">
        <v>4</v>
      </c>
      <c r="K11" t="s">
        <v>62</v>
      </c>
    </row>
    <row r="12" spans="2:11" x14ac:dyDescent="0.2">
      <c r="K12" t="s">
        <v>63</v>
      </c>
    </row>
    <row r="13" spans="2:11" x14ac:dyDescent="0.2">
      <c r="K13" t="s">
        <v>64</v>
      </c>
    </row>
    <row r="14" spans="2:11" x14ac:dyDescent="0.2">
      <c r="K14" t="s">
        <v>251</v>
      </c>
    </row>
    <row r="15" spans="2:11" x14ac:dyDescent="0.2">
      <c r="K15" t="s">
        <v>258</v>
      </c>
    </row>
    <row r="17" spans="1:11" x14ac:dyDescent="0.2">
      <c r="A17">
        <v>1</v>
      </c>
      <c r="B17" t="s">
        <v>8</v>
      </c>
      <c r="C17" t="s">
        <v>65</v>
      </c>
      <c r="D17">
        <v>5</v>
      </c>
      <c r="E17">
        <v>3</v>
      </c>
      <c r="F17">
        <v>3.5</v>
      </c>
      <c r="G17">
        <v>2.5</v>
      </c>
      <c r="H17">
        <v>1.3</v>
      </c>
      <c r="I17">
        <f>SUM(D17:H17)</f>
        <v>15.3</v>
      </c>
      <c r="K17" t="s">
        <v>66</v>
      </c>
    </row>
    <row r="18" spans="1:11" x14ac:dyDescent="0.2">
      <c r="B18" s="1" t="s">
        <v>12</v>
      </c>
      <c r="K18" t="s">
        <v>67</v>
      </c>
    </row>
    <row r="19" spans="1:11" x14ac:dyDescent="0.2">
      <c r="K19" t="s">
        <v>68</v>
      </c>
    </row>
    <row r="20" spans="1:11" x14ac:dyDescent="0.2">
      <c r="K20" t="s">
        <v>69</v>
      </c>
    </row>
    <row r="21" spans="1:11" x14ac:dyDescent="0.2">
      <c r="K21" t="s">
        <v>70</v>
      </c>
    </row>
    <row r="22" spans="1:11" x14ac:dyDescent="0.2">
      <c r="K22" t="s">
        <v>71</v>
      </c>
    </row>
    <row r="23" spans="1:11" x14ac:dyDescent="0.2">
      <c r="K23" t="s">
        <v>72</v>
      </c>
    </row>
    <row r="24" spans="1:11" x14ac:dyDescent="0.2">
      <c r="K24" t="s">
        <v>254</v>
      </c>
    </row>
    <row r="26" spans="1:11" x14ac:dyDescent="0.2">
      <c r="B26" t="s">
        <v>22</v>
      </c>
      <c r="C26" t="s">
        <v>73</v>
      </c>
      <c r="D26">
        <v>8</v>
      </c>
      <c r="E26">
        <v>4.5</v>
      </c>
      <c r="F26">
        <v>4.75</v>
      </c>
      <c r="G26">
        <v>2.5</v>
      </c>
      <c r="H26">
        <v>2.5</v>
      </c>
      <c r="I26">
        <f>SUM(D26:H26)</f>
        <v>22.25</v>
      </c>
      <c r="K26" t="s">
        <v>74</v>
      </c>
    </row>
    <row r="27" spans="1:11" x14ac:dyDescent="0.2">
      <c r="B27" s="1" t="s">
        <v>16</v>
      </c>
      <c r="K27" t="s">
        <v>75</v>
      </c>
    </row>
    <row r="28" spans="1:11" x14ac:dyDescent="0.2">
      <c r="K28" t="s">
        <v>76</v>
      </c>
    </row>
    <row r="29" spans="1:11" x14ac:dyDescent="0.2">
      <c r="K29" t="s">
        <v>77</v>
      </c>
    </row>
    <row r="30" spans="1:11" x14ac:dyDescent="0.2">
      <c r="K30" t="s">
        <v>255</v>
      </c>
    </row>
    <row r="31" spans="1:11" x14ac:dyDescent="0.2">
      <c r="K31" t="s">
        <v>256</v>
      </c>
    </row>
    <row r="34" spans="2:11" x14ac:dyDescent="0.2">
      <c r="B34" s="1" t="s">
        <v>6</v>
      </c>
      <c r="C34" t="s">
        <v>78</v>
      </c>
      <c r="D34">
        <v>8</v>
      </c>
      <c r="E34">
        <v>3.75</v>
      </c>
      <c r="F34">
        <v>4</v>
      </c>
      <c r="G34">
        <v>2.5</v>
      </c>
      <c r="H34">
        <v>1.3</v>
      </c>
      <c r="I34">
        <f>SUM(D34:H34)</f>
        <v>19.55</v>
      </c>
      <c r="K34" t="s">
        <v>79</v>
      </c>
    </row>
    <row r="35" spans="2:11" x14ac:dyDescent="0.2">
      <c r="B35" s="10" t="s">
        <v>2</v>
      </c>
      <c r="K35" t="s">
        <v>262</v>
      </c>
    </row>
    <row r="36" spans="2:11" x14ac:dyDescent="0.2">
      <c r="B36" s="10"/>
      <c r="K36" t="s">
        <v>261</v>
      </c>
    </row>
    <row r="37" spans="2:11" x14ac:dyDescent="0.2">
      <c r="K37" t="s">
        <v>259</v>
      </c>
    </row>
    <row r="38" spans="2:11" x14ac:dyDescent="0.2">
      <c r="K38" t="s">
        <v>260</v>
      </c>
    </row>
    <row r="40" spans="2:11" x14ac:dyDescent="0.2">
      <c r="B40" s="1" t="s">
        <v>20</v>
      </c>
      <c r="C40" t="s">
        <v>80</v>
      </c>
      <c r="D40">
        <v>9</v>
      </c>
      <c r="E40">
        <v>5</v>
      </c>
      <c r="F40">
        <v>4.75</v>
      </c>
      <c r="G40">
        <v>2.5</v>
      </c>
      <c r="H40">
        <v>2.5</v>
      </c>
      <c r="I40">
        <f>SUM(D40:H40)</f>
        <v>23.75</v>
      </c>
      <c r="K40" t="s">
        <v>81</v>
      </c>
    </row>
    <row r="41" spans="2:11" x14ac:dyDescent="0.2">
      <c r="B41" t="s">
        <v>82</v>
      </c>
      <c r="K41" t="s">
        <v>83</v>
      </c>
    </row>
    <row r="42" spans="2:11" x14ac:dyDescent="0.2">
      <c r="K42" t="s">
        <v>84</v>
      </c>
    </row>
    <row r="43" spans="2:11" x14ac:dyDescent="0.2">
      <c r="K43" t="s">
        <v>257</v>
      </c>
    </row>
    <row r="46" spans="2:11" x14ac:dyDescent="0.2">
      <c r="I46">
        <v>22.65</v>
      </c>
      <c r="J46" t="s">
        <v>0</v>
      </c>
    </row>
    <row r="47" spans="2:11" x14ac:dyDescent="0.2">
      <c r="I47">
        <v>19.55</v>
      </c>
      <c r="J47" t="s">
        <v>2</v>
      </c>
    </row>
    <row r="48" spans="2:11" x14ac:dyDescent="0.2">
      <c r="I48">
        <v>23.1</v>
      </c>
      <c r="J48" t="s">
        <v>4</v>
      </c>
    </row>
    <row r="49" spans="9:10" x14ac:dyDescent="0.2">
      <c r="I49">
        <v>19.55</v>
      </c>
      <c r="J49" t="s">
        <v>6</v>
      </c>
    </row>
    <row r="50" spans="9:10" x14ac:dyDescent="0.2">
      <c r="I50">
        <v>15.3</v>
      </c>
      <c r="J50" t="s">
        <v>8</v>
      </c>
    </row>
    <row r="51" spans="9:10" x14ac:dyDescent="0.2">
      <c r="I51">
        <v>23.1</v>
      </c>
      <c r="J51" t="s">
        <v>10</v>
      </c>
    </row>
    <row r="52" spans="9:10" x14ac:dyDescent="0.2">
      <c r="I52">
        <v>15.3</v>
      </c>
      <c r="J52" t="s">
        <v>12</v>
      </c>
    </row>
    <row r="53" spans="9:10" x14ac:dyDescent="0.2">
      <c r="I53">
        <v>23.75</v>
      </c>
      <c r="J53" t="s">
        <v>14</v>
      </c>
    </row>
    <row r="54" spans="9:10" x14ac:dyDescent="0.2">
      <c r="I54">
        <v>22.25</v>
      </c>
      <c r="J54" t="s">
        <v>16</v>
      </c>
    </row>
    <row r="55" spans="9:10" x14ac:dyDescent="0.2">
      <c r="I55">
        <v>22.65</v>
      </c>
      <c r="J55" t="s">
        <v>18</v>
      </c>
    </row>
    <row r="56" spans="9:10" x14ac:dyDescent="0.2">
      <c r="I56">
        <v>23.75</v>
      </c>
      <c r="J56" t="s">
        <v>20</v>
      </c>
    </row>
    <row r="57" spans="9:10" x14ac:dyDescent="0.2">
      <c r="I57">
        <v>22.25</v>
      </c>
      <c r="J57" t="s">
        <v>22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B0AB-554C-A848-AE05-3C603984D824}">
  <dimension ref="A1:M69"/>
  <sheetViews>
    <sheetView topLeftCell="A2" workbookViewId="0">
      <selection activeCell="M4" sqref="M4:M15"/>
    </sheetView>
  </sheetViews>
  <sheetFormatPr baseColWidth="10" defaultRowHeight="16" x14ac:dyDescent="0.2"/>
  <cols>
    <col min="3" max="3" width="22.83203125" customWidth="1"/>
    <col min="5" max="5" width="8.1640625" customWidth="1"/>
    <col min="6" max="6" width="5.1640625" customWidth="1"/>
    <col min="7" max="7" width="7.83203125" customWidth="1"/>
    <col min="8" max="8" width="5.6640625" customWidth="1"/>
    <col min="9" max="9" width="5.33203125" customWidth="1"/>
  </cols>
  <sheetData>
    <row r="1" spans="1:13" x14ac:dyDescent="0.2">
      <c r="A1" t="s">
        <v>85</v>
      </c>
      <c r="D1" s="1" t="s">
        <v>86</v>
      </c>
      <c r="E1" s="1" t="s">
        <v>51</v>
      </c>
      <c r="F1" s="1" t="s">
        <v>87</v>
      </c>
      <c r="G1" s="1" t="s">
        <v>88</v>
      </c>
      <c r="H1" s="1" t="s">
        <v>85</v>
      </c>
      <c r="I1" s="1" t="s">
        <v>89</v>
      </c>
    </row>
    <row r="2" spans="1:13" x14ac:dyDescent="0.2">
      <c r="D2" s="11">
        <v>0.9</v>
      </c>
      <c r="E2" s="11">
        <v>3</v>
      </c>
      <c r="F2" s="11">
        <v>0.9</v>
      </c>
      <c r="G2" s="11">
        <v>0.6</v>
      </c>
      <c r="H2" s="11">
        <v>0.6</v>
      </c>
      <c r="I2" s="11">
        <f>SUM(D2:H2)</f>
        <v>5.9999999999999991</v>
      </c>
    </row>
    <row r="3" spans="1:13" x14ac:dyDescent="0.2">
      <c r="D3" s="12"/>
      <c r="E3" s="12"/>
      <c r="F3" s="12"/>
      <c r="G3" s="12"/>
      <c r="H3" s="12"/>
      <c r="I3" s="12"/>
    </row>
    <row r="4" spans="1:13" x14ac:dyDescent="0.2">
      <c r="A4" s="1" t="s">
        <v>263</v>
      </c>
      <c r="B4" s="1"/>
      <c r="C4" s="1"/>
      <c r="D4" s="10">
        <v>0.9</v>
      </c>
      <c r="E4" s="10">
        <v>2.5</v>
      </c>
      <c r="F4" s="10">
        <v>0.9</v>
      </c>
      <c r="G4" s="10">
        <v>0.5</v>
      </c>
      <c r="H4" s="10">
        <v>0.5</v>
      </c>
      <c r="I4" s="10">
        <f>SUM(D4:H4)</f>
        <v>5.3</v>
      </c>
      <c r="J4" t="s">
        <v>20</v>
      </c>
      <c r="L4" t="s">
        <v>0</v>
      </c>
      <c r="M4">
        <v>3.15</v>
      </c>
    </row>
    <row r="5" spans="1:13" x14ac:dyDescent="0.2">
      <c r="A5" s="1" t="s">
        <v>265</v>
      </c>
      <c r="B5" s="1"/>
      <c r="C5" s="1"/>
      <c r="D5" s="10"/>
      <c r="E5" s="10"/>
      <c r="F5" s="10"/>
      <c r="G5" s="10"/>
      <c r="H5" s="10"/>
      <c r="I5" s="10"/>
      <c r="L5" t="s">
        <v>2</v>
      </c>
    </row>
    <row r="6" spans="1:13" x14ac:dyDescent="0.2">
      <c r="A6" t="s">
        <v>264</v>
      </c>
      <c r="D6" s="10"/>
      <c r="E6" s="10"/>
      <c r="F6" s="10"/>
      <c r="G6" s="10"/>
      <c r="H6" s="10"/>
      <c r="I6" s="10"/>
      <c r="L6" t="s">
        <v>4</v>
      </c>
      <c r="M6">
        <v>4.26</v>
      </c>
    </row>
    <row r="7" spans="1:13" x14ac:dyDescent="0.2">
      <c r="A7" t="s">
        <v>266</v>
      </c>
      <c r="D7" s="10"/>
      <c r="E7" s="10"/>
      <c r="F7" s="10"/>
      <c r="G7" s="10"/>
      <c r="H7" s="10"/>
      <c r="I7" s="10"/>
      <c r="L7" t="s">
        <v>6</v>
      </c>
      <c r="M7">
        <v>2.8</v>
      </c>
    </row>
    <row r="8" spans="1:13" x14ac:dyDescent="0.2">
      <c r="A8" t="s">
        <v>275</v>
      </c>
      <c r="D8" s="10"/>
      <c r="E8" s="10"/>
      <c r="F8" s="10"/>
      <c r="G8" s="10"/>
      <c r="H8" s="10"/>
      <c r="I8" s="10"/>
      <c r="L8" t="s">
        <v>8</v>
      </c>
      <c r="M8">
        <v>3.8</v>
      </c>
    </row>
    <row r="9" spans="1:13" x14ac:dyDescent="0.2">
      <c r="A9" t="s">
        <v>276</v>
      </c>
      <c r="D9" s="10"/>
      <c r="E9" s="10"/>
      <c r="F9" s="10"/>
      <c r="G9" s="10"/>
      <c r="H9" s="10"/>
      <c r="I9" s="10"/>
      <c r="L9" t="s">
        <v>10</v>
      </c>
      <c r="M9">
        <v>4.26</v>
      </c>
    </row>
    <row r="10" spans="1:13" x14ac:dyDescent="0.2">
      <c r="D10" s="10"/>
      <c r="E10" s="10"/>
      <c r="F10" s="10"/>
      <c r="G10" s="10"/>
      <c r="H10" s="10"/>
      <c r="I10" s="10"/>
      <c r="L10" t="s">
        <v>12</v>
      </c>
    </row>
    <row r="11" spans="1:13" x14ac:dyDescent="0.2">
      <c r="A11" s="1" t="s">
        <v>267</v>
      </c>
      <c r="D11" s="10">
        <v>0.8</v>
      </c>
      <c r="E11" s="10">
        <v>2.2999999999999998</v>
      </c>
      <c r="F11" s="10">
        <v>0.7</v>
      </c>
      <c r="G11" s="10">
        <v>0.5</v>
      </c>
      <c r="H11" s="10">
        <v>0.6</v>
      </c>
      <c r="I11" s="10">
        <f>SUM(D11:H11)</f>
        <v>4.8999999999999995</v>
      </c>
      <c r="J11" t="s">
        <v>16</v>
      </c>
      <c r="L11" t="s">
        <v>14</v>
      </c>
      <c r="M11">
        <v>3.7</v>
      </c>
    </row>
    <row r="12" spans="1:13" x14ac:dyDescent="0.2">
      <c r="A12" s="10" t="s">
        <v>268</v>
      </c>
      <c r="D12" s="10"/>
      <c r="E12" s="10"/>
      <c r="F12" s="10"/>
      <c r="G12" s="10"/>
      <c r="H12" s="10"/>
      <c r="I12" s="10"/>
      <c r="J12" t="s">
        <v>22</v>
      </c>
      <c r="L12" t="s">
        <v>16</v>
      </c>
      <c r="M12">
        <v>4.8999999999999995</v>
      </c>
    </row>
    <row r="13" spans="1:13" x14ac:dyDescent="0.2">
      <c r="A13" s="10" t="s">
        <v>274</v>
      </c>
      <c r="D13" s="10"/>
      <c r="E13" s="10"/>
      <c r="F13" s="10"/>
      <c r="G13" s="10"/>
      <c r="H13" s="10"/>
      <c r="I13" s="10"/>
      <c r="L13" t="s">
        <v>18</v>
      </c>
    </row>
    <row r="14" spans="1:13" x14ac:dyDescent="0.2">
      <c r="A14" s="10" t="s">
        <v>271</v>
      </c>
      <c r="D14" s="10"/>
      <c r="E14" s="10"/>
      <c r="F14" s="10"/>
      <c r="G14" s="10"/>
      <c r="H14" s="10"/>
      <c r="I14" s="10"/>
      <c r="L14" t="s">
        <v>20</v>
      </c>
      <c r="M14">
        <v>5.3</v>
      </c>
    </row>
    <row r="15" spans="1:13" x14ac:dyDescent="0.2">
      <c r="A15" s="10" t="s">
        <v>269</v>
      </c>
      <c r="B15" s="10"/>
      <c r="D15" s="10"/>
      <c r="E15" s="10"/>
      <c r="F15" s="10"/>
      <c r="G15" s="10"/>
      <c r="H15" s="10"/>
      <c r="I15" s="10"/>
      <c r="L15" t="s">
        <v>22</v>
      </c>
      <c r="M15">
        <v>4.8999999999999995</v>
      </c>
    </row>
    <row r="16" spans="1:13" x14ac:dyDescent="0.2">
      <c r="A16" s="10" t="s">
        <v>270</v>
      </c>
      <c r="B16" s="10"/>
      <c r="D16" s="10"/>
      <c r="E16" s="10"/>
      <c r="F16" s="10"/>
      <c r="G16" s="10"/>
      <c r="H16" s="10"/>
      <c r="I16" s="10"/>
    </row>
    <row r="17" spans="1:10" x14ac:dyDescent="0.2">
      <c r="A17" s="10" t="s">
        <v>272</v>
      </c>
      <c r="B17" s="10"/>
      <c r="D17" s="10"/>
      <c r="E17" s="10"/>
      <c r="F17" s="10"/>
      <c r="G17" s="10"/>
      <c r="H17" s="10"/>
      <c r="I17" s="10"/>
    </row>
    <row r="18" spans="1:10" x14ac:dyDescent="0.2">
      <c r="A18" s="10" t="s">
        <v>273</v>
      </c>
      <c r="B18" s="10"/>
      <c r="D18" s="10"/>
      <c r="E18" s="10"/>
      <c r="F18" s="10"/>
      <c r="G18" s="10"/>
      <c r="H18" s="10"/>
      <c r="I18" s="10"/>
    </row>
    <row r="19" spans="1:10" x14ac:dyDescent="0.2">
      <c r="A19" s="10"/>
      <c r="B19" s="10"/>
      <c r="D19" s="10"/>
      <c r="E19" s="10"/>
      <c r="F19" s="10"/>
      <c r="G19" s="10"/>
      <c r="H19" s="10"/>
      <c r="I19" s="10"/>
    </row>
    <row r="20" spans="1:10" x14ac:dyDescent="0.2">
      <c r="A20" s="1" t="s">
        <v>277</v>
      </c>
      <c r="B20" s="10"/>
      <c r="D20" s="10">
        <v>0.66</v>
      </c>
      <c r="E20" s="10">
        <v>2.1</v>
      </c>
      <c r="F20" s="10">
        <v>0.7</v>
      </c>
      <c r="G20" s="10">
        <v>0.5</v>
      </c>
      <c r="H20" s="10">
        <v>0.3</v>
      </c>
      <c r="I20" s="10">
        <f>SUM(D20:H20)</f>
        <v>4.26</v>
      </c>
      <c r="J20" t="s">
        <v>4</v>
      </c>
    </row>
    <row r="21" spans="1:10" x14ac:dyDescent="0.2">
      <c r="A21" s="10" t="s">
        <v>278</v>
      </c>
      <c r="B21" s="10"/>
      <c r="D21" s="10"/>
      <c r="E21" s="10"/>
      <c r="F21" s="10"/>
      <c r="G21" s="10"/>
      <c r="H21" s="10"/>
      <c r="I21" s="10"/>
      <c r="J21" t="s">
        <v>10</v>
      </c>
    </row>
    <row r="22" spans="1:10" x14ac:dyDescent="0.2">
      <c r="A22" s="10" t="s">
        <v>284</v>
      </c>
      <c r="B22" s="10"/>
      <c r="D22" s="10"/>
      <c r="E22" s="10"/>
      <c r="F22" s="10"/>
      <c r="G22" s="10"/>
      <c r="H22" s="10"/>
      <c r="I22" s="10"/>
    </row>
    <row r="23" spans="1:10" x14ac:dyDescent="0.2">
      <c r="A23" s="10" t="s">
        <v>279</v>
      </c>
      <c r="D23" s="10"/>
      <c r="E23" s="10"/>
      <c r="F23" s="10"/>
      <c r="G23" s="10"/>
      <c r="H23" s="10"/>
      <c r="I23" s="10"/>
    </row>
    <row r="24" spans="1:10" x14ac:dyDescent="0.2">
      <c r="A24" s="10" t="s">
        <v>280</v>
      </c>
      <c r="B24" s="10"/>
      <c r="D24" s="10"/>
      <c r="E24" s="10"/>
      <c r="F24" s="10"/>
      <c r="G24" s="10"/>
      <c r="H24" s="10"/>
      <c r="I24" s="10"/>
    </row>
    <row r="25" spans="1:10" x14ac:dyDescent="0.2">
      <c r="A25" s="1" t="s">
        <v>285</v>
      </c>
      <c r="B25" s="10"/>
      <c r="D25" s="10"/>
      <c r="E25" s="10"/>
      <c r="F25" s="10"/>
      <c r="G25" s="10"/>
      <c r="H25" s="10"/>
      <c r="I25" s="10"/>
    </row>
    <row r="26" spans="1:10" x14ac:dyDescent="0.2">
      <c r="A26" s="10" t="s">
        <v>283</v>
      </c>
      <c r="B26" s="10"/>
      <c r="C26" s="10"/>
      <c r="D26" s="10"/>
      <c r="E26" s="10"/>
      <c r="F26" s="10"/>
      <c r="G26" s="10"/>
      <c r="H26" s="10"/>
      <c r="I26" s="10"/>
    </row>
    <row r="27" spans="1:10" x14ac:dyDescent="0.2">
      <c r="A27" s="10" t="s">
        <v>281</v>
      </c>
      <c r="B27" s="10"/>
      <c r="C27" s="10"/>
      <c r="D27" s="10"/>
      <c r="E27" s="10"/>
      <c r="F27" s="10"/>
      <c r="G27" s="10"/>
      <c r="H27" s="10"/>
      <c r="I27" s="10"/>
    </row>
    <row r="28" spans="1:10" x14ac:dyDescent="0.2">
      <c r="A28" s="10" t="s">
        <v>282</v>
      </c>
      <c r="B28" s="10"/>
      <c r="C28" s="10"/>
      <c r="D28" s="10"/>
      <c r="E28" s="10"/>
      <c r="F28" s="10"/>
      <c r="G28" s="10"/>
      <c r="H28" s="10"/>
      <c r="I28" s="10"/>
    </row>
    <row r="29" spans="1:10" x14ac:dyDescent="0.2">
      <c r="A29" s="1"/>
      <c r="B29" s="10"/>
      <c r="D29" s="10"/>
      <c r="E29" s="10"/>
      <c r="F29" s="10"/>
      <c r="G29" s="10"/>
      <c r="H29" s="10"/>
      <c r="I29" s="10"/>
    </row>
    <row r="30" spans="1:10" x14ac:dyDescent="0.2">
      <c r="A30" s="1" t="s">
        <v>286</v>
      </c>
      <c r="B30" s="10"/>
      <c r="D30" s="10">
        <v>0.5</v>
      </c>
      <c r="E30" s="10">
        <v>1.7</v>
      </c>
      <c r="F30" s="10">
        <v>0.8</v>
      </c>
      <c r="G30" s="10">
        <v>0.4</v>
      </c>
      <c r="H30" s="10">
        <v>0.4</v>
      </c>
      <c r="I30" s="10">
        <f>SUM(D30:H30)</f>
        <v>3.8</v>
      </c>
      <c r="J30" t="s">
        <v>8</v>
      </c>
    </row>
    <row r="31" spans="1:10" x14ac:dyDescent="0.2">
      <c r="A31" s="10" t="s">
        <v>290</v>
      </c>
      <c r="B31" s="10"/>
      <c r="D31" s="10"/>
      <c r="E31" s="10"/>
      <c r="F31" s="10"/>
      <c r="G31" s="10"/>
      <c r="H31" s="10"/>
      <c r="I31" s="10"/>
    </row>
    <row r="32" spans="1:10" x14ac:dyDescent="0.2">
      <c r="A32" s="10" t="s">
        <v>288</v>
      </c>
      <c r="B32" s="10"/>
      <c r="D32" s="10"/>
      <c r="E32" s="10"/>
      <c r="F32" s="10"/>
      <c r="G32" s="10"/>
      <c r="H32" s="10"/>
      <c r="I32" s="10"/>
    </row>
    <row r="33" spans="1:9" x14ac:dyDescent="0.2">
      <c r="A33" s="10" t="s">
        <v>289</v>
      </c>
      <c r="B33" s="10"/>
      <c r="D33" s="10"/>
      <c r="E33" s="10"/>
      <c r="F33" s="10"/>
      <c r="G33" s="10"/>
      <c r="H33" s="10"/>
      <c r="I33" s="10"/>
    </row>
    <row r="34" spans="1:9" x14ac:dyDescent="0.2">
      <c r="A34" s="10" t="s">
        <v>291</v>
      </c>
      <c r="B34" s="10"/>
      <c r="D34" s="10"/>
      <c r="E34" s="10"/>
      <c r="F34" s="10"/>
      <c r="G34" s="10"/>
      <c r="H34" s="10"/>
      <c r="I34" s="10"/>
    </row>
    <row r="35" spans="1:9" x14ac:dyDescent="0.2">
      <c r="A35" s="10" t="s">
        <v>287</v>
      </c>
      <c r="B35" s="10"/>
      <c r="D35" s="10"/>
      <c r="E35" s="10"/>
      <c r="F35" s="10"/>
      <c r="G35" s="10"/>
      <c r="H35" s="10"/>
      <c r="I35" s="10"/>
    </row>
    <row r="36" spans="1:9" x14ac:dyDescent="0.2">
      <c r="A36" s="10"/>
      <c r="B36" s="10"/>
      <c r="D36" s="10"/>
      <c r="E36" s="10"/>
      <c r="F36" s="10"/>
      <c r="G36" s="10"/>
      <c r="H36" s="10"/>
      <c r="I36" s="10"/>
    </row>
    <row r="37" spans="1:9" x14ac:dyDescent="0.2">
      <c r="A37" s="10"/>
      <c r="B37" s="10"/>
      <c r="D37" s="10"/>
      <c r="E37" s="10"/>
      <c r="F37" s="10"/>
      <c r="G37" s="10"/>
      <c r="H37" s="10"/>
      <c r="I37" s="10"/>
    </row>
    <row r="38" spans="1:9" x14ac:dyDescent="0.2">
      <c r="A38" s="1" t="s">
        <v>90</v>
      </c>
      <c r="D38" s="10">
        <v>0.5</v>
      </c>
      <c r="E38" s="10">
        <v>1.6</v>
      </c>
      <c r="F38" s="10">
        <v>0.7</v>
      </c>
      <c r="G38" s="10">
        <v>0.5</v>
      </c>
      <c r="H38" s="10">
        <v>0.4</v>
      </c>
      <c r="I38" s="10">
        <f>SUM(D38:H38)</f>
        <v>3.6999999999999997</v>
      </c>
    </row>
    <row r="39" spans="1:9" x14ac:dyDescent="0.2">
      <c r="A39" t="s">
        <v>292</v>
      </c>
      <c r="D39" s="10"/>
      <c r="E39" s="10"/>
      <c r="F39" s="10"/>
      <c r="G39" s="10"/>
      <c r="H39" s="10"/>
      <c r="I39" s="10"/>
    </row>
    <row r="40" spans="1:9" x14ac:dyDescent="0.2">
      <c r="A40" t="s">
        <v>293</v>
      </c>
      <c r="D40" s="10"/>
      <c r="E40" s="10"/>
      <c r="F40" s="10"/>
      <c r="G40" s="10"/>
      <c r="H40" s="10"/>
      <c r="I40" s="10"/>
    </row>
    <row r="41" spans="1:9" x14ac:dyDescent="0.2">
      <c r="A41" t="s">
        <v>294</v>
      </c>
      <c r="D41" s="10"/>
      <c r="E41" s="10"/>
      <c r="F41" s="10"/>
      <c r="G41" s="10"/>
      <c r="H41" s="10"/>
      <c r="I41" s="10"/>
    </row>
    <row r="42" spans="1:9" x14ac:dyDescent="0.2">
      <c r="A42" t="s">
        <v>295</v>
      </c>
      <c r="D42" s="10"/>
      <c r="E42" s="10"/>
      <c r="F42" s="10"/>
      <c r="G42" s="10"/>
      <c r="H42" s="10"/>
      <c r="I42" s="10"/>
    </row>
    <row r="43" spans="1:9" x14ac:dyDescent="0.2">
      <c r="A43" t="s">
        <v>296</v>
      </c>
      <c r="D43" s="10"/>
      <c r="E43" s="10"/>
      <c r="F43" s="10"/>
      <c r="G43" s="10"/>
      <c r="H43" s="10"/>
      <c r="I43" s="10"/>
    </row>
    <row r="44" spans="1:9" x14ac:dyDescent="0.2">
      <c r="A44" t="s">
        <v>297</v>
      </c>
      <c r="D44" s="10"/>
      <c r="E44" s="10"/>
      <c r="F44" s="10"/>
      <c r="G44" s="10"/>
      <c r="H44" s="10"/>
      <c r="I44" s="10"/>
    </row>
    <row r="45" spans="1:9" x14ac:dyDescent="0.2">
      <c r="D45" s="10"/>
      <c r="E45" s="10"/>
      <c r="F45" s="10"/>
      <c r="G45" s="10"/>
      <c r="H45" s="10"/>
      <c r="I45" s="10"/>
    </row>
    <row r="46" spans="1:9" ht="1" x14ac:dyDescent="0.2">
      <c r="D46" s="10"/>
      <c r="E46" s="10"/>
      <c r="F46" s="10"/>
      <c r="G46" s="10"/>
      <c r="H46" s="10"/>
      <c r="I46" s="10"/>
    </row>
    <row r="47" spans="1:9" ht="1" x14ac:dyDescent="0.2">
      <c r="D47" s="10"/>
      <c r="E47" s="10"/>
      <c r="F47" s="10"/>
      <c r="G47" s="10"/>
      <c r="H47" s="10"/>
      <c r="I47" s="10"/>
    </row>
    <row r="48" spans="1:9" ht="1" x14ac:dyDescent="0.2">
      <c r="D48" s="10"/>
      <c r="E48" s="10"/>
      <c r="F48" s="10"/>
      <c r="G48" s="10"/>
      <c r="H48" s="10"/>
      <c r="I48" s="10"/>
    </row>
    <row r="49" spans="1:9" x14ac:dyDescent="0.2">
      <c r="A49" s="1" t="s">
        <v>298</v>
      </c>
      <c r="D49" s="10">
        <v>0.6</v>
      </c>
      <c r="E49" s="10">
        <v>1.5</v>
      </c>
      <c r="F49" s="10">
        <v>0.6</v>
      </c>
      <c r="G49" s="10">
        <v>0.3</v>
      </c>
      <c r="H49" s="10">
        <v>0.15</v>
      </c>
      <c r="I49" s="10">
        <f>SUM(D49:H49)</f>
        <v>3.15</v>
      </c>
    </row>
    <row r="50" spans="1:9" x14ac:dyDescent="0.2">
      <c r="A50" t="s">
        <v>299</v>
      </c>
      <c r="D50" s="10"/>
      <c r="E50" s="10"/>
      <c r="F50" s="10"/>
      <c r="G50" s="10"/>
      <c r="H50" s="10"/>
      <c r="I50" s="10"/>
    </row>
    <row r="51" spans="1:9" x14ac:dyDescent="0.2">
      <c r="A51" t="s">
        <v>302</v>
      </c>
      <c r="D51" s="10"/>
      <c r="E51" s="10"/>
      <c r="F51" s="10"/>
      <c r="G51" s="10"/>
      <c r="H51" s="10"/>
      <c r="I51" s="10"/>
    </row>
    <row r="52" spans="1:9" x14ac:dyDescent="0.2">
      <c r="A52" t="s">
        <v>300</v>
      </c>
      <c r="D52" s="10"/>
      <c r="E52" s="10"/>
      <c r="F52" s="10"/>
      <c r="G52" s="10"/>
      <c r="H52" s="10"/>
      <c r="I52" s="10"/>
    </row>
    <row r="53" spans="1:9" x14ac:dyDescent="0.2">
      <c r="A53" t="s">
        <v>301</v>
      </c>
      <c r="D53" s="10"/>
      <c r="E53" s="10"/>
      <c r="F53" s="10"/>
      <c r="G53" s="10"/>
      <c r="H53" s="10"/>
      <c r="I53" s="10"/>
    </row>
    <row r="54" spans="1:9" x14ac:dyDescent="0.2">
      <c r="D54" s="10"/>
      <c r="E54" s="10"/>
      <c r="F54" s="10"/>
      <c r="G54" s="10"/>
      <c r="H54" s="10"/>
      <c r="I54" s="10"/>
    </row>
    <row r="55" spans="1:9" x14ac:dyDescent="0.2">
      <c r="D55" s="10"/>
      <c r="E55" s="10"/>
      <c r="F55" s="10"/>
      <c r="G55" s="10"/>
      <c r="H55" s="10"/>
      <c r="I55" s="10"/>
    </row>
    <row r="56" spans="1:9" x14ac:dyDescent="0.2">
      <c r="A56" s="1" t="s">
        <v>303</v>
      </c>
      <c r="D56" s="10">
        <v>0.5</v>
      </c>
      <c r="E56">
        <v>1.2</v>
      </c>
      <c r="F56" s="10">
        <v>0.6</v>
      </c>
      <c r="G56" s="10">
        <v>0.25</v>
      </c>
      <c r="H56" s="10">
        <v>0.25</v>
      </c>
      <c r="I56" s="10">
        <f>SUM(D56:H56)</f>
        <v>2.8</v>
      </c>
    </row>
    <row r="57" spans="1:9" x14ac:dyDescent="0.2">
      <c r="A57" t="s">
        <v>304</v>
      </c>
      <c r="D57" s="10"/>
      <c r="E57" s="10"/>
      <c r="F57" s="10"/>
      <c r="G57" s="10"/>
      <c r="H57" s="10"/>
      <c r="I57" s="10"/>
    </row>
    <row r="58" spans="1:9" x14ac:dyDescent="0.2">
      <c r="A58" t="s">
        <v>305</v>
      </c>
      <c r="D58" s="10"/>
      <c r="E58" s="10"/>
      <c r="F58" s="10"/>
      <c r="G58" s="10"/>
      <c r="H58" s="10"/>
      <c r="I58" s="10"/>
    </row>
    <row r="59" spans="1:9" x14ac:dyDescent="0.2">
      <c r="A59" t="s">
        <v>306</v>
      </c>
      <c r="D59" s="10"/>
      <c r="E59" s="10"/>
      <c r="F59" s="10"/>
      <c r="G59" s="10"/>
      <c r="H59" s="10"/>
      <c r="I59" s="10"/>
    </row>
    <row r="60" spans="1:9" x14ac:dyDescent="0.2">
      <c r="A60" t="s">
        <v>307</v>
      </c>
    </row>
    <row r="61" spans="1:9" x14ac:dyDescent="0.2">
      <c r="A61" t="s">
        <v>309</v>
      </c>
    </row>
    <row r="62" spans="1:9" x14ac:dyDescent="0.2">
      <c r="A62" t="s">
        <v>310</v>
      </c>
    </row>
    <row r="63" spans="1:9" x14ac:dyDescent="0.2">
      <c r="A63" t="s">
        <v>311</v>
      </c>
    </row>
    <row r="64" spans="1:9" x14ac:dyDescent="0.2">
      <c r="A64" t="s">
        <v>312</v>
      </c>
    </row>
    <row r="65" spans="1:9" x14ac:dyDescent="0.2">
      <c r="A65" t="s">
        <v>313</v>
      </c>
    </row>
    <row r="66" spans="1:9" x14ac:dyDescent="0.2">
      <c r="A66" t="s">
        <v>308</v>
      </c>
    </row>
    <row r="68" spans="1:9" x14ac:dyDescent="0.2">
      <c r="D68" s="1" t="s">
        <v>86</v>
      </c>
      <c r="E68" s="1" t="s">
        <v>51</v>
      </c>
      <c r="F68" s="1" t="s">
        <v>87</v>
      </c>
      <c r="G68" s="1" t="s">
        <v>88</v>
      </c>
      <c r="H68" s="1" t="s">
        <v>85</v>
      </c>
      <c r="I68" s="1" t="s">
        <v>89</v>
      </c>
    </row>
    <row r="69" spans="1:9" x14ac:dyDescent="0.2">
      <c r="D69" s="11">
        <v>0.9</v>
      </c>
      <c r="E69" s="11">
        <v>3</v>
      </c>
      <c r="F69" s="11">
        <v>0.9</v>
      </c>
      <c r="G69" s="11">
        <v>0.6</v>
      </c>
      <c r="H69" s="11">
        <v>0.6</v>
      </c>
      <c r="I69" s="11">
        <f>SUM(D69:H69)</f>
        <v>5.9999999999999991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Class </vt:lpstr>
      <vt:lpstr>Engaged</vt:lpstr>
      <vt:lpstr>Blog critique</vt:lpstr>
      <vt:lpstr>Synth</vt:lpstr>
      <vt:lpstr>Other Core</vt:lpstr>
      <vt:lpstr>One pager</vt:lpstr>
      <vt:lpstr>Present</vt:lpstr>
      <vt:lpstr>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Cynthia</dc:creator>
  <cp:lastModifiedBy>Jonathan Trumbull</cp:lastModifiedBy>
  <cp:lastPrinted>2026-05-16T22:19:13Z</cp:lastPrinted>
  <dcterms:created xsi:type="dcterms:W3CDTF">2026-05-12T18:49:48Z</dcterms:created>
  <dcterms:modified xsi:type="dcterms:W3CDTF">2026-05-25T23:16:36Z</dcterms:modified>
</cp:coreProperties>
</file>