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mbjd/Dev/Dotsesses/Dotsesses/example/"/>
    </mc:Choice>
  </mc:AlternateContent>
  <xr:revisionPtr revIDLastSave="0" documentId="8_{E4179937-1DD2-2848-82D9-D3A62D80D232}" xr6:coauthVersionLast="47" xr6:coauthVersionMax="47" xr10:uidLastSave="{00000000-0000-0000-0000-000000000000}"/>
  <bookViews>
    <workbookView xWindow="0" yWindow="680" windowWidth="34560" windowHeight="21660" xr2:uid="{EA61B524-DE66-8F42-ADD2-12E2ADC93D0B}"/>
  </bookViews>
  <sheets>
    <sheet name="ALL" sheetId="1" r:id="rId1"/>
    <sheet name="Q1a-b" sheetId="2" r:id="rId2"/>
    <sheet name="Q1c-e" sheetId="3" r:id="rId3"/>
    <sheet name="Q2a-(C)" sheetId="4" r:id="rId4"/>
    <sheet name="Q2-TM" sheetId="5" r:id="rId5"/>
    <sheet name="Q2-Box" sheetId="6" r:id="rId6"/>
    <sheet name="short answ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C2" i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M2" i="1"/>
  <c r="N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I2" i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3" i="2"/>
  <c r="E34" i="2" s="1"/>
  <c r="D33" i="2"/>
  <c r="D34" i="2" s="1"/>
  <c r="C34" i="2"/>
  <c r="E4" i="5" l="1"/>
  <c r="E5" i="5"/>
  <c r="E6" i="5"/>
  <c r="E7" i="5"/>
  <c r="E8" i="5"/>
  <c r="E9" i="5"/>
  <c r="E10" i="5"/>
  <c r="E11" i="5"/>
  <c r="E12" i="5"/>
  <c r="E13" i="5"/>
  <c r="E14" i="5"/>
  <c r="E15" i="5"/>
  <c r="K4" i="4"/>
  <c r="K5" i="4"/>
  <c r="K6" i="4"/>
  <c r="K7" i="4"/>
  <c r="K8" i="4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" i="5"/>
  <c r="K14" i="4"/>
  <c r="K11" i="4"/>
  <c r="K12" i="4"/>
  <c r="K13" i="4"/>
  <c r="K9" i="4"/>
  <c r="K10" i="4"/>
  <c r="K2" i="4"/>
  <c r="F8" i="6"/>
  <c r="F6" i="6"/>
  <c r="F7" i="6"/>
  <c r="F5" i="6"/>
  <c r="F4" i="6"/>
  <c r="F23" i="6"/>
  <c r="F25" i="6"/>
  <c r="F26" i="6"/>
  <c r="F27" i="6"/>
  <c r="F28" i="6"/>
  <c r="F24" i="6"/>
  <c r="F22" i="6"/>
  <c r="F18" i="6"/>
  <c r="F19" i="6"/>
  <c r="F20" i="6"/>
  <c r="F21" i="6"/>
  <c r="F17" i="6"/>
  <c r="F16" i="6"/>
  <c r="F15" i="6"/>
  <c r="F14" i="6"/>
  <c r="F9" i="6"/>
  <c r="F10" i="6"/>
  <c r="F11" i="6"/>
  <c r="F12" i="6"/>
  <c r="F13" i="6"/>
  <c r="F2" i="6"/>
  <c r="K31" i="7"/>
  <c r="J31" i="7"/>
  <c r="I31" i="7"/>
  <c r="H31" i="7"/>
  <c r="G31" i="7"/>
  <c r="F31" i="7"/>
  <c r="E31" i="7"/>
  <c r="D31" i="7"/>
  <c r="C31" i="7"/>
  <c r="B31" i="7"/>
  <c r="L5" i="7"/>
  <c r="L6" i="7"/>
  <c r="L7" i="7"/>
  <c r="L8" i="7"/>
  <c r="L9" i="7"/>
  <c r="L29" i="7"/>
  <c r="L28" i="7"/>
  <c r="L26" i="7"/>
  <c r="L27" i="7"/>
  <c r="L25" i="7"/>
  <c r="L23" i="7"/>
  <c r="L24" i="7"/>
  <c r="L22" i="7"/>
  <c r="L21" i="7"/>
  <c r="L20" i="7"/>
  <c r="L19" i="7"/>
  <c r="L18" i="7"/>
  <c r="L16" i="7"/>
  <c r="L17" i="7"/>
  <c r="L13" i="7"/>
  <c r="L14" i="7"/>
  <c r="L15" i="7"/>
  <c r="L10" i="7"/>
  <c r="L11" i="7"/>
  <c r="L12" i="7"/>
  <c r="L3" i="7"/>
  <c r="K25" i="4"/>
  <c r="K24" i="4"/>
  <c r="K23" i="4"/>
  <c r="K22" i="4"/>
  <c r="K19" i="4"/>
  <c r="K20" i="4"/>
  <c r="K21" i="4"/>
  <c r="K17" i="4"/>
  <c r="K18" i="4"/>
  <c r="K16" i="4"/>
  <c r="K26" i="4"/>
  <c r="K27" i="4"/>
  <c r="K28" i="4"/>
  <c r="L32" i="7" l="1"/>
  <c r="L31" i="7"/>
  <c r="D31" i="3"/>
  <c r="C31" i="3"/>
  <c r="B31" i="3"/>
  <c r="D30" i="3"/>
  <c r="D35" i="3" s="1"/>
  <c r="C30" i="3"/>
  <c r="C35" i="3" s="1"/>
  <c r="B30" i="3"/>
  <c r="B35" i="3" s="1"/>
  <c r="E2" i="3"/>
  <c r="E7" i="3"/>
  <c r="E8" i="3"/>
  <c r="E4" i="3"/>
  <c r="E31" i="3" s="1"/>
  <c r="E5" i="3"/>
  <c r="E6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9" i="3"/>
  <c r="E10" i="3"/>
  <c r="E11" i="3"/>
  <c r="E12" i="3"/>
  <c r="E31" i="2"/>
  <c r="D31" i="2"/>
  <c r="C31" i="2"/>
  <c r="E30" i="2"/>
  <c r="D30" i="2"/>
  <c r="C30" i="2"/>
  <c r="F8" i="2"/>
  <c r="F7" i="2"/>
  <c r="F4" i="2"/>
  <c r="F5" i="2"/>
  <c r="F6" i="2"/>
  <c r="F12" i="2"/>
  <c r="F13" i="2"/>
  <c r="F11" i="2"/>
  <c r="F9" i="2"/>
  <c r="F10" i="2"/>
  <c r="F23" i="2"/>
  <c r="F24" i="2"/>
  <c r="F28" i="2"/>
  <c r="F27" i="2"/>
  <c r="F26" i="2"/>
  <c r="F25" i="2"/>
  <c r="F22" i="2"/>
  <c r="F21" i="2"/>
  <c r="F20" i="2"/>
  <c r="F19" i="2"/>
  <c r="F18" i="2"/>
  <c r="F15" i="2"/>
  <c r="F16" i="2"/>
  <c r="F17" i="2"/>
  <c r="F2" i="2"/>
  <c r="C33" i="2" l="1"/>
  <c r="L35" i="7"/>
  <c r="L36" i="7" s="1"/>
  <c r="L34" i="7"/>
  <c r="B33" i="3"/>
  <c r="C33" i="3"/>
  <c r="E30" i="3"/>
  <c r="D33" i="3"/>
  <c r="F14" i="2"/>
  <c r="E35" i="3" l="1"/>
  <c r="E33" i="3"/>
</calcChain>
</file>

<file path=xl/sharedStrings.xml><?xml version="1.0" encoding="utf-8"?>
<sst xmlns="http://schemas.openxmlformats.org/spreadsheetml/2006/main" count="183" uniqueCount="161">
  <si>
    <t>ID</t>
  </si>
  <si>
    <t>Infring</t>
  </si>
  <si>
    <t>Notes</t>
  </si>
  <si>
    <t>0 claim construc; DOE; both inf; Iceland A; 0 comparison of art to inv or 2d</t>
  </si>
  <si>
    <t>confu construc-think PH does NOT limit?; 103-no diff ID/A; no 2d consid</t>
  </si>
  <si>
    <t>construc sorta unclear; but good A; 102(a)-tweet?; no inv expln; 103 bulleted</t>
  </si>
  <si>
    <t>sortta cursory inf A;</t>
  </si>
  <si>
    <t>PP missing edge?; got shak Tank, but think copying rebuts 103</t>
  </si>
  <si>
    <t>miss Lamical 2 sides;pillow NA?; diff = 3 edge and soft triangle</t>
  </si>
  <si>
    <t>1 support;pref embod as REQ; not full 102(a) rule; 102 cursory; 103 0 clear diff; think copying rebut</t>
  </si>
  <si>
    <t>miss L not all edge; 102(a) &gt; 1 yr?; confused field v. prob; but got 1 edge v. all</t>
  </si>
  <si>
    <t>inf A sorta unclear; 103- 0 skill/analog ID/0 UD diff; no conclu 2d consid</t>
  </si>
  <si>
    <t>0 2d consid</t>
  </si>
  <si>
    <r>
      <t xml:space="preserve">construc slightly unclear; Lamical 1 edge; </t>
    </r>
    <r>
      <rPr>
        <sz val="12"/>
        <color rgb="FFFF0000"/>
        <rFont val="Aptos Narrow (Body)"/>
      </rPr>
      <t>ICELAND 103-minus 1?</t>
    </r>
    <r>
      <rPr>
        <sz val="12"/>
        <color theme="1"/>
        <rFont val="Aptos Narrow"/>
        <family val="2"/>
        <scheme val="minor"/>
      </rPr>
      <t>; unclear diff)</t>
    </r>
  </si>
  <si>
    <r>
      <t>jill exptl use 102?;</t>
    </r>
    <r>
      <rPr>
        <sz val="12"/>
        <color rgb="FFFF0000"/>
        <rFont val="Aptos Narrow (Body)"/>
      </rPr>
      <t xml:space="preserve"> 103 -obv bc iceland</t>
    </r>
    <r>
      <rPr>
        <sz val="12"/>
        <color theme="1"/>
        <rFont val="Aptos Narrow"/>
        <family val="2"/>
        <scheme val="minor"/>
      </rPr>
      <t>; got shark tank and copying not nec due to inv or shark</t>
    </r>
  </si>
  <si>
    <r>
      <t>0 construc besides "at least"; 102-  no inv date; GR/pillow for 102(a)?</t>
    </r>
    <r>
      <rPr>
        <sz val="12"/>
        <color rgb="FFFF0000"/>
        <rFont val="Aptos Narrow (Body)"/>
      </rPr>
      <t>; 102(b) bar iceland</t>
    </r>
  </si>
  <si>
    <t>103 - "almost all elements"</t>
  </si>
  <si>
    <t xml:space="preserve">1 p all patent; 103-pillow field; prob display;  GR "sim prob"; 0 diff/motiv/2d </t>
  </si>
  <si>
    <t>field = lap desk; 0 expln of JP etc for analog</t>
  </si>
  <si>
    <t>sortta cursory inf A; good 2d consid</t>
  </si>
  <si>
    <t>0 construc; inf "A" is Y/N 103 almost 0 -  lists art and says no motiv combine and likely pat</t>
  </si>
  <si>
    <t>103 cursory 1 para; 2d consid rule only</t>
  </si>
  <si>
    <t>inv date = patent??; 102 conclu (dnt expln why not all elemnets);</t>
  </si>
  <si>
    <t>great 2d - copying AFTER shark tank</t>
  </si>
  <si>
    <t>AVG</t>
  </si>
  <si>
    <t>STD</t>
  </si>
  <si>
    <t>minus 1</t>
  </si>
  <si>
    <t>plus 1</t>
  </si>
  <si>
    <t>1c</t>
  </si>
  <si>
    <t>1d</t>
  </si>
  <si>
    <t>1e</t>
  </si>
  <si>
    <t>Q1ab</t>
  </si>
  <si>
    <t>Q1c-e</t>
  </si>
  <si>
    <t>fails 9 bc assoc? (and 3d cir); no recc</t>
  </si>
  <si>
    <t>could be ec valu; got 102(b)</t>
  </si>
  <si>
    <t>"likely nom" w/o explnl; think TS misapp; noted unikely exptl use for 102</t>
  </si>
  <si>
    <t>0 Rule/A nom; TS misapp IF TS; 102(b) overcome if files w/tihin 1 yr?</t>
  </si>
  <si>
    <t>0A nom  (got rules); TS misapp</t>
  </si>
  <si>
    <t>skip 3d cir A;</t>
  </si>
  <si>
    <t>missing nom fair use facrtors; no TS misappro bc not reas secrecy; prod changed?</t>
  </si>
  <si>
    <t>nom rules unclear for circuits &amp; think axn needed 9cir; recog might not be valu, but ult says likely claim; new req</t>
  </si>
  <si>
    <t xml:space="preserve">0 rule nom- "use as needed"; </t>
  </si>
  <si>
    <t>fail 9 cir?;</t>
  </si>
  <si>
    <t>0 nom mentioned; not reas secrecy</t>
  </si>
  <si>
    <t>nom ok if  avoid limply partner; NO RULE; ex misappro; 103</t>
  </si>
  <si>
    <t>0 nom R/A; think password secret; IF wait &gt; year prob?</t>
  </si>
  <si>
    <t>0 nom R/A;assumes vlu, altho notes vlu as issue + password;</t>
  </si>
  <si>
    <t>think affirm endorse w/o nom rules; 103</t>
  </si>
  <si>
    <t>nom R w/o A; password weak, but thinks TW claim;</t>
  </si>
  <si>
    <t>nom cir R/A missing;  103</t>
  </si>
  <si>
    <t xml:space="preserve">no R/A nom - only recc; </t>
  </si>
  <si>
    <r>
      <t xml:space="preserve">descrip fair use!; confu bc S. Tank expands &amp; intent; likely  ec vlau, but also info ascer thru proper means; </t>
    </r>
    <r>
      <rPr>
        <i/>
        <sz val="12"/>
        <color theme="1"/>
        <rFont val="Aptos Narrow"/>
        <scheme val="minor"/>
      </rPr>
      <t>likely</t>
    </r>
    <r>
      <rPr>
        <sz val="12"/>
        <color theme="1"/>
        <rFont val="Aptos Narrow"/>
        <scheme val="minor"/>
      </rPr>
      <t xml:space="preserve"> not pat bc sold</t>
    </r>
  </si>
  <si>
    <t>think 9cir prob; no 3d Cir A; not reas secret; prior art by prior patent</t>
  </si>
  <si>
    <t>think fails not easily ID w/o; no TS bc got patent?; 103</t>
  </si>
  <si>
    <t>0 9/3 R/A; assume TS misapp; 103 bc iceland holder</t>
  </si>
  <si>
    <t xml:space="preserve">think nom fair use fine; 0 on whether ec valu; </t>
  </si>
  <si>
    <t>0 3rd cir A; think TS claim; 103</t>
  </si>
  <si>
    <t>nom test, but no A; not reas secret; not valu bc knockoffs</t>
  </si>
  <si>
    <t>MAX</t>
  </si>
  <si>
    <t>method</t>
  </si>
  <si>
    <t>video</t>
  </si>
  <si>
    <t>Inf</t>
  </si>
  <si>
    <t>Q2c-TD</t>
  </si>
  <si>
    <t>Q2c-©</t>
  </si>
  <si>
    <t>Q2c-scope</t>
  </si>
  <si>
    <t xml:space="preserve">miss single bound un©; think noncomm; sim 2 live crew; </t>
  </si>
  <si>
    <t>© basic</t>
  </si>
  <si>
    <t>no inf?; noncomm; transf work bc diff use?; took heart; not likely effect; method likely barred</t>
  </si>
  <si>
    <t>Q2</t>
  </si>
  <si>
    <t>0 single bound; cc, but owise ok inf; 107 - all but mention why min transf v. Dr. Sues &amp; equiv mkt</t>
  </si>
  <si>
    <t xml:space="preserve">got phrase NA; </t>
  </si>
  <si>
    <t>noncomm; transf use</t>
  </si>
  <si>
    <t>1 sent 107; lists copyrightable things?</t>
  </si>
  <si>
    <t>107 ubcky single boud</t>
  </si>
  <si>
    <t>"weak © for asset</t>
  </si>
  <si>
    <t>inf</t>
  </si>
  <si>
    <t>Q1</t>
  </si>
  <si>
    <t>Q4</t>
  </si>
  <si>
    <t>Q5</t>
  </si>
  <si>
    <t>Q6</t>
  </si>
  <si>
    <t>Q7a</t>
  </si>
  <si>
    <t>Q7b</t>
  </si>
  <si>
    <t>Q8</t>
  </si>
  <si>
    <t>Q9</t>
  </si>
  <si>
    <t>Q8-no if pub comain</t>
  </si>
  <si>
    <t>Q9-only fail if simple shape/phrase</t>
  </si>
  <si>
    <t>Q8-"making new"; Q9-notes/phone not ©?</t>
  </si>
  <si>
    <t>Q8-digital</t>
  </si>
  <si>
    <t>Q1-not to ID co;Q5-would be useful (unclear)</t>
  </si>
  <si>
    <t>Q1-ord lang w/I mark;bar w/I country apply</t>
  </si>
  <si>
    <t>Q1-not as a mark, but own goods/serv</t>
  </si>
  <si>
    <t>Q1-ord lang; 2</t>
  </si>
  <si>
    <t>.</t>
  </si>
  <si>
    <t>(R)</t>
  </si>
  <si>
    <t>pub</t>
  </si>
  <si>
    <t>sound</t>
  </si>
  <si>
    <t>calendar</t>
  </si>
  <si>
    <t>Q3</t>
  </si>
  <si>
    <t>straw</t>
  </si>
  <si>
    <t>PF</t>
  </si>
  <si>
    <t>rest</t>
  </si>
  <si>
    <t>Lift</t>
  </si>
  <si>
    <t>artist</t>
  </si>
  <si>
    <t>106A</t>
  </si>
  <si>
    <t>Q1- "yes"; Q2 bkwards;Q8 "no liab"</t>
  </si>
  <si>
    <t>Q1 -ord lang to ID service; Q7-pub NA news</t>
  </si>
  <si>
    <t xml:space="preserve">Q1-ord lang; </t>
  </si>
  <si>
    <t>Q1-not using Lyft</t>
  </si>
  <si>
    <t>Q3-no TS</t>
  </si>
  <si>
    <t>Q3-no TS; Q8-dgital</t>
  </si>
  <si>
    <t xml:space="preserve">Q6-diution!; </t>
  </si>
  <si>
    <t>Q9-right side only</t>
  </si>
  <si>
    <t xml:space="preserve"> Q7-pub NA news; claim didn't have a lot of time to finish</t>
  </si>
  <si>
    <t>average</t>
  </si>
  <si>
    <t>std</t>
  </si>
  <si>
    <t>minus 2</t>
  </si>
  <si>
    <t>Q2c</t>
  </si>
  <si>
    <t>TD defn; req use in commerce</t>
  </si>
  <si>
    <t>scope only for TD</t>
  </si>
  <si>
    <t>not used in commerce bc no sales</t>
  </si>
  <si>
    <t>bullets</t>
  </si>
  <si>
    <t>"local" TD and not useful?; broad protection unfair</t>
  </si>
  <si>
    <t>lists things s.a. tree image, instruc, etc</t>
  </si>
  <si>
    <t>side branches aesthetic; need 2d meaning</t>
  </si>
  <si>
    <t>box not useful art bc no util function</t>
  </si>
  <si>
    <t>TD and copyright</t>
  </si>
  <si>
    <t>TD if start selling; 0 A scope for copyright</t>
  </si>
  <si>
    <t>commerce likely bc ship; TD mostly rules</t>
  </si>
  <si>
    <t>comm use is solicit funds</t>
  </si>
  <si>
    <t>not used on good/srvc bc not for sale</t>
  </si>
  <si>
    <t>box not sold in commerce</t>
  </si>
  <si>
    <t>think req sale, but conclu say not fxn and need 2d meaning; © conclu</t>
  </si>
  <si>
    <t>not used on good/services for SALE in commerce if given to volunteers</t>
  </si>
  <si>
    <t>provided volunteers = not in commerce</t>
  </si>
  <si>
    <t>EA</t>
  </si>
  <si>
    <t>think EA inf both, but no liability method only bc method not ©</t>
  </si>
  <si>
    <t>EA- no hero</t>
  </si>
  <si>
    <t>EA no expln</t>
  </si>
  <si>
    <t>fair use weak, altho got unlikely fair (D use to create logo?)</t>
  </si>
  <si>
    <t>EA-0 hero; for method said expression might be ©, but 0 on inf</t>
  </si>
  <si>
    <t>most important - not related, so know not sponsored?; not tarnish bc positive</t>
  </si>
  <si>
    <t>inf source?</t>
  </si>
  <si>
    <t>EA gist, but 2 sent</t>
  </si>
  <si>
    <t>diu</t>
  </si>
  <si>
    <t>video thin bc factual?</t>
  </si>
  <si>
    <t>ER liable bc 0 transf for fair use</t>
  </si>
  <si>
    <t>TM presumed valid</t>
  </si>
  <si>
    <t>lgo argu generic, and then descrip</t>
  </si>
  <si>
    <t>no good/servv with video?</t>
  </si>
  <si>
    <t>MC</t>
  </si>
  <si>
    <t>Q2a-c</t>
  </si>
  <si>
    <t>Q2-TM</t>
  </si>
  <si>
    <t>Q2-box</t>
  </si>
  <si>
    <t>Short</t>
  </si>
  <si>
    <t>Class</t>
  </si>
  <si>
    <t>Q1ab(Notes)</t>
  </si>
  <si>
    <t>Q1c-e(Notes)</t>
  </si>
  <si>
    <t>Q2a-c(Notes)</t>
  </si>
  <si>
    <t>Q2-TM(Notes)</t>
  </si>
  <si>
    <t>Q2-box(Notes)</t>
  </si>
  <si>
    <t>Short(Notes)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</si>
</sst>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9"/>
      <name val="Segoe UI"/>
      <family val="2"/>
    </font>
    <font>
      <sz val="12"/>
      <color rgb="FF7030A0"/>
      <name val="Aptos Narrow"/>
      <family val="2"/>
      <scheme val="minor"/>
    </font>
    <font>
      <sz val="12"/>
      <color rgb="FFFF0000"/>
      <name val="Aptos Narrow (Body)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5" tint="-0.249977111117893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5" tint="-0.499984740745262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left" vertical="top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0" fillId="4" borderId="0" xfId="0" applyFill="1"/>
    <xf numFmtId="0" fontId="0" fillId="5" borderId="0" xfId="0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F724-9A44-6140-9FCF-709C8EB8B74C}">
  <dimension ref="A1:O28"/>
  <sheetViews>
    <sheetView tabSelected="1" workbookViewId="0">
      <selection activeCell="N34" sqref="N34"/>
    </sheetView>
  </sheetViews>
  <sheetFormatPr baseColWidth="10" defaultRowHeight="16" x14ac:dyDescent="0.2"/>
  <cols>
    <col min="2" max="2" width="5.6640625" customWidth="1"/>
    <col min="3" max="3" width="5.5" customWidth="1"/>
    <col min="4" max="4" width="18.5" customWidth="1"/>
    <col min="5" max="5" width="13.1640625" customWidth="1"/>
    <col min="6" max="6" width="24.6640625" customWidth="1"/>
    <col min="7" max="7" width="16.33203125" customWidth="1"/>
    <col min="9" max="9" width="14.1640625" customWidth="1"/>
    <col min="11" max="11" width="12" customWidth="1"/>
    <col min="12" max="12" width="24" customWidth="1"/>
    <col min="13" max="13" width="6.5" customWidth="1"/>
    <col min="14" max="14" width="16.33203125" customWidth="1"/>
    <col min="15" max="15" width="8.5" customWidth="1"/>
  </cols>
  <sheetData>
    <row r="1" spans="1:15" x14ac:dyDescent="0.2">
      <c r="A1" t="s">
        <v>0</v>
      </c>
      <c r="B1" t="s">
        <v>149</v>
      </c>
      <c r="C1" t="s">
        <v>31</v>
      </c>
      <c r="D1" t="s">
        <v>155</v>
      </c>
      <c r="E1" t="s">
        <v>32</v>
      </c>
      <c r="F1" t="s">
        <v>156</v>
      </c>
      <c r="G1" t="s">
        <v>150</v>
      </c>
      <c r="H1" t="s">
        <v>157</v>
      </c>
      <c r="I1" t="s">
        <v>151</v>
      </c>
      <c r="J1" t="s">
        <v>158</v>
      </c>
      <c r="K1" t="s">
        <v>152</v>
      </c>
      <c r="L1" t="s">
        <v>159</v>
      </c>
      <c r="M1" t="s">
        <v>153</v>
      </c>
      <c r="N1" t="s">
        <v>160</v>
      </c>
      <c r="O1" t="s">
        <v>154</v>
      </c>
    </row>
    <row r="2" spans="1:15" x14ac:dyDescent="0.2">
      <c r="B2">
        <v>16</v>
      </c>
      <c r="C2">
        <f>'Q1a-b'!F2</f>
        <v>55</v>
      </c>
      <c r="D2">
        <f>'Q1a-b'!G2</f>
        <v>0</v>
      </c>
      <c r="E2">
        <f>'Q1c-e'!E2</f>
        <v>20</v>
      </c>
      <c r="G2">
        <f>'Q2a-(C)'!K2</f>
        <v>40</v>
      </c>
      <c r="I2">
        <f>'Q2-TM'!E2</f>
        <v>16</v>
      </c>
      <c r="J2">
        <f>'Q2-TM'!F2</f>
        <v>0</v>
      </c>
      <c r="K2">
        <f>'Q2-Box'!F2</f>
        <v>16</v>
      </c>
      <c r="L2">
        <f>'Q2-Box'!G2</f>
        <v>0</v>
      </c>
      <c r="M2">
        <f>'short answer'!L3</f>
        <v>22.5</v>
      </c>
      <c r="N2">
        <f>'short answer'!M3</f>
        <v>0</v>
      </c>
    </row>
    <row r="3" spans="1:15" x14ac:dyDescent="0.2">
      <c r="C3">
        <f>'Q1a-b'!F3</f>
        <v>0</v>
      </c>
      <c r="D3">
        <f>'Q1a-b'!G3</f>
        <v>0</v>
      </c>
      <c r="E3">
        <f>'Q1c-e'!E3</f>
        <v>0</v>
      </c>
      <c r="G3">
        <f>'Q2a-(C)'!K3</f>
        <v>0</v>
      </c>
      <c r="I3">
        <f>'Q2-TM'!E3</f>
        <v>0</v>
      </c>
      <c r="J3">
        <f>'Q2-TM'!F3</f>
        <v>0</v>
      </c>
      <c r="K3">
        <f>'Q2-Box'!F3</f>
        <v>0</v>
      </c>
      <c r="L3">
        <f>'Q2-Box'!G3</f>
        <v>0</v>
      </c>
      <c r="M3">
        <f>'short answer'!L4</f>
        <v>0</v>
      </c>
      <c r="N3">
        <f>'short answer'!M4</f>
        <v>0</v>
      </c>
    </row>
    <row r="4" spans="1:15" x14ac:dyDescent="0.2">
      <c r="A4" s="1">
        <v>1248</v>
      </c>
      <c r="B4">
        <v>10</v>
      </c>
      <c r="C4">
        <f>'Q1a-b'!F4</f>
        <v>40</v>
      </c>
      <c r="D4" s="18">
        <f>'Q1a-b'!G4</f>
        <v>0</v>
      </c>
      <c r="E4">
        <f>'Q1c-e'!E4</f>
        <v>6</v>
      </c>
      <c r="F4" t="str">
        <f>'Q1c-e'!F4</f>
        <v>0 9/3 R/A; assume TS misapp; 103 bc iceland holder</v>
      </c>
      <c r="G4">
        <f>'Q2a-(C)'!K4</f>
        <v>18</v>
      </c>
      <c r="H4">
        <f>'Q2a-(C)'!L4</f>
        <v>0</v>
      </c>
      <c r="I4">
        <f>'Q2-TM'!E4</f>
        <v>4.5</v>
      </c>
      <c r="J4" t="str">
        <f>'Q2-TM'!F4</f>
        <v>inf source?</v>
      </c>
      <c r="K4">
        <f>'Q2-Box'!F4</f>
        <v>10</v>
      </c>
      <c r="L4">
        <f>'Q2-Box'!G4</f>
        <v>0</v>
      </c>
      <c r="M4">
        <f>'short answer'!L5</f>
        <v>16</v>
      </c>
      <c r="N4" t="str">
        <f>'short answer'!M5</f>
        <v>Q3-no TS</v>
      </c>
      <c r="O4" s="17">
        <v>110.5</v>
      </c>
    </row>
    <row r="5" spans="1:15" x14ac:dyDescent="0.2">
      <c r="A5" s="1">
        <v>1889</v>
      </c>
      <c r="B5" s="14">
        <v>6</v>
      </c>
      <c r="C5">
        <f>'Q1a-b'!F5</f>
        <v>37</v>
      </c>
      <c r="D5" s="18" t="str">
        <f>'Q1a-b'!G5</f>
        <v>inv date = patent??; 102 conclu (dnt expln why not all elemnets);</v>
      </c>
      <c r="E5">
        <f>'Q1c-e'!E5</f>
        <v>4.5</v>
      </c>
      <c r="F5" t="str">
        <f>'Q1c-e'!F5</f>
        <v>think fails not easily ID w/o; no TS bc got patent?; 103</v>
      </c>
      <c r="G5">
        <f>'Q2a-(C)'!K5</f>
        <v>30</v>
      </c>
      <c r="H5" t="str">
        <f>'Q2a-(C)'!L5</f>
        <v>EA gist, but 2 sent</v>
      </c>
      <c r="I5">
        <f>'Q2-TM'!E5</f>
        <v>12.5</v>
      </c>
      <c r="J5">
        <f>'Q2-TM'!F5</f>
        <v>0</v>
      </c>
      <c r="K5">
        <f>'Q2-Box'!F5</f>
        <v>8</v>
      </c>
      <c r="L5" t="str">
        <f>'Q2-Box'!G5</f>
        <v>not used on good/srvc bc not for sale</v>
      </c>
      <c r="M5">
        <f>'short answer'!L6</f>
        <v>13.5</v>
      </c>
      <c r="N5" t="str">
        <f>'short answer'!M6</f>
        <v>Q3-no TS; Q8-dgital</v>
      </c>
      <c r="O5" s="17">
        <v>100.69</v>
      </c>
    </row>
    <row r="6" spans="1:15" x14ac:dyDescent="0.2">
      <c r="A6" s="1">
        <v>2099</v>
      </c>
      <c r="B6">
        <v>10</v>
      </c>
      <c r="C6">
        <f>'Q1a-b'!F6</f>
        <v>40.5</v>
      </c>
      <c r="D6" s="18">
        <f>'Q1a-b'!G6</f>
        <v>0</v>
      </c>
      <c r="E6">
        <f>'Q1c-e'!E6</f>
        <v>11.5</v>
      </c>
      <c r="F6" t="str">
        <f>'Q1c-e'!F6</f>
        <v xml:space="preserve">think nom fair use fine; 0 on whether ec valu; </v>
      </c>
      <c r="G6">
        <f>'Q2a-(C)'!K6</f>
        <v>34</v>
      </c>
      <c r="H6" t="str">
        <f>'Q2a-(C)'!L6</f>
        <v>video thin bc factual?</v>
      </c>
      <c r="I6">
        <f>'Q2-TM'!E6</f>
        <v>8</v>
      </c>
      <c r="J6">
        <f>'Q2-TM'!F6</f>
        <v>0</v>
      </c>
      <c r="K6">
        <f>'Q2-Box'!F6</f>
        <v>3</v>
      </c>
      <c r="L6">
        <f>'Q2-Box'!G6</f>
        <v>0</v>
      </c>
      <c r="M6">
        <f>'short answer'!L7</f>
        <v>7.5</v>
      </c>
      <c r="N6" t="str">
        <f>'short answer'!M7</f>
        <v xml:space="preserve">Q6-diution!; </v>
      </c>
      <c r="O6" s="17">
        <v>111.19</v>
      </c>
    </row>
    <row r="7" spans="1:15" x14ac:dyDescent="0.2">
      <c r="A7" s="1">
        <v>2410</v>
      </c>
      <c r="B7" s="15">
        <v>16</v>
      </c>
      <c r="C7">
        <f>'Q1a-b'!F7</f>
        <v>50</v>
      </c>
      <c r="D7" s="18" t="str">
        <f>'Q1a-b'!G7</f>
        <v>great 2d - copying AFTER shark tank</v>
      </c>
      <c r="E7">
        <f>'Q1c-e'!E7</f>
        <v>11.5</v>
      </c>
      <c r="F7" t="str">
        <f>'Q1c-e'!F7</f>
        <v>0 3rd cir A; think TS claim; 103</v>
      </c>
      <c r="G7">
        <f>'Q2a-(C)'!K7</f>
        <v>32.5</v>
      </c>
      <c r="H7">
        <f>'Q2a-(C)'!L7</f>
        <v>0</v>
      </c>
      <c r="I7">
        <f>'Q2-TM'!E7</f>
        <v>14.5</v>
      </c>
      <c r="J7">
        <f>'Q2-TM'!F7</f>
        <v>0</v>
      </c>
      <c r="K7">
        <f>'Q2-Box'!F7</f>
        <v>12</v>
      </c>
      <c r="L7" t="str">
        <f>'Q2-Box'!G7</f>
        <v>box not sold in commerce</v>
      </c>
      <c r="M7">
        <f>'short answer'!L8</f>
        <v>17</v>
      </c>
      <c r="N7" t="str">
        <f>'short answer'!M8</f>
        <v>Q9-right side only</v>
      </c>
      <c r="O7" s="17">
        <v>111.6</v>
      </c>
    </row>
    <row r="8" spans="1:15" x14ac:dyDescent="0.2">
      <c r="A8" s="1">
        <v>2809</v>
      </c>
      <c r="B8">
        <v>10</v>
      </c>
      <c r="C8">
        <f>'Q1a-b'!F8</f>
        <v>43</v>
      </c>
      <c r="D8" s="18">
        <f>'Q1a-b'!G8</f>
        <v>0</v>
      </c>
      <c r="E8">
        <f>'Q1c-e'!E8</f>
        <v>13</v>
      </c>
      <c r="F8" t="str">
        <f>'Q1c-e'!F8</f>
        <v>nom test, but no A; not reas secret; not valu bc knockoffs</v>
      </c>
      <c r="G8">
        <f>'Q2a-(C)'!K8</f>
        <v>13</v>
      </c>
      <c r="H8" t="str">
        <f>'Q2a-(C)'!L8</f>
        <v>ER liable bc 0 transf for fair use</v>
      </c>
      <c r="I8">
        <f>'Q2-TM'!E8</f>
        <v>1.5</v>
      </c>
      <c r="J8" t="str">
        <f>'Q2-TM'!F8</f>
        <v>TM presumed valid</v>
      </c>
      <c r="K8">
        <f>'Q2-Box'!F8</f>
        <v>7</v>
      </c>
      <c r="L8" t="str">
        <f>'Q2-Box'!G8</f>
        <v>think req sale, but conclu say not fxn and need 2d meaning; © conclu</v>
      </c>
      <c r="M8">
        <f>'short answer'!L9</f>
        <v>8.5</v>
      </c>
      <c r="N8">
        <f>'short answer'!M9</f>
        <v>0</v>
      </c>
      <c r="O8" s="17">
        <v>109.46</v>
      </c>
    </row>
    <row r="9" spans="1:15" x14ac:dyDescent="0.2">
      <c r="A9" s="1">
        <v>3071</v>
      </c>
      <c r="B9">
        <v>8</v>
      </c>
      <c r="C9">
        <f>'Q1a-b'!F9</f>
        <v>35</v>
      </c>
      <c r="D9" s="18" t="str">
        <f>'Q1a-b'!G9</f>
        <v>jill exptl use 102?; 103 -obv bc iceland; got shark tank and copying not nec due to inv or shark</v>
      </c>
      <c r="E9">
        <f>'Q1c-e'!E9</f>
        <v>3</v>
      </c>
      <c r="F9" t="str">
        <f>'Q1c-e'!F9</f>
        <v>fails 9 bc assoc? (and 3d cir); no recc</v>
      </c>
      <c r="G9">
        <f>'Q2a-(C)'!K9</f>
        <v>21</v>
      </c>
      <c r="H9">
        <f>'Q2a-(C)'!L9</f>
        <v>0</v>
      </c>
      <c r="I9">
        <f>'Q2-TM'!E9</f>
        <v>10.5</v>
      </c>
      <c r="J9" t="str">
        <f>'Q2-TM'!F9</f>
        <v>lgo argu generic, and then descrip</v>
      </c>
      <c r="K9">
        <f>'Q2-Box'!F9</f>
        <v>3.5</v>
      </c>
      <c r="L9">
        <f>'Q2-Box'!G9</f>
        <v>0</v>
      </c>
      <c r="M9">
        <f>'short answer'!L10</f>
        <v>8</v>
      </c>
      <c r="N9" t="str">
        <f>'short answer'!M10</f>
        <v>Q8-no if pub comain</v>
      </c>
      <c r="O9" s="17">
        <v>103.37</v>
      </c>
    </row>
    <row r="10" spans="1:15" x14ac:dyDescent="0.2">
      <c r="A10" s="1">
        <v>3470</v>
      </c>
      <c r="B10">
        <v>16</v>
      </c>
      <c r="C10">
        <f>'Q1a-b'!F10</f>
        <v>45.5</v>
      </c>
      <c r="D10" s="18">
        <f>'Q1a-b'!G10</f>
        <v>0</v>
      </c>
      <c r="E10">
        <f>'Q1c-e'!E10</f>
        <v>15.5</v>
      </c>
      <c r="F10" t="str">
        <f>'Q1c-e'!F10</f>
        <v>could be ec valu; got 102(b)</v>
      </c>
      <c r="G10">
        <f>'Q2a-(C)'!K10</f>
        <v>25</v>
      </c>
      <c r="H10">
        <f>'Q2a-(C)'!L10</f>
        <v>0</v>
      </c>
      <c r="I10">
        <f>'Q2-TM'!E10</f>
        <v>12</v>
      </c>
      <c r="J10">
        <f>'Q2-TM'!F10</f>
        <v>0</v>
      </c>
      <c r="K10">
        <f>'Q2-Box'!F10</f>
        <v>8.5</v>
      </c>
      <c r="L10">
        <f>'Q2-Box'!G10</f>
        <v>0</v>
      </c>
      <c r="M10">
        <f>'short answer'!L11</f>
        <v>13.5</v>
      </c>
      <c r="N10">
        <f>'short answer'!M11</f>
        <v>0</v>
      </c>
      <c r="O10" s="17">
        <v>111.38</v>
      </c>
    </row>
    <row r="11" spans="1:15" x14ac:dyDescent="0.2">
      <c r="A11" s="1">
        <v>3757</v>
      </c>
      <c r="B11">
        <v>10</v>
      </c>
      <c r="C11">
        <f>'Q1a-b'!F11</f>
        <v>22</v>
      </c>
      <c r="D11" s="18" t="str">
        <f>'Q1a-b'!G11</f>
        <v>0 construc besides "at least"; 102-  no inv date; GR/pillow for 102(a)?; 102(b) bar iceland</v>
      </c>
      <c r="E11">
        <f>'Q1c-e'!E11</f>
        <v>8.5</v>
      </c>
      <c r="F11" t="str">
        <f>'Q1c-e'!F11</f>
        <v>"likely nom" w/o explnl; think TS misapp; noted unikely exptl use for 102</v>
      </c>
      <c r="G11">
        <f>'Q2a-(C)'!K11</f>
        <v>7.5</v>
      </c>
      <c r="H11" t="str">
        <f>'Q2a-(C)'!L11</f>
        <v>think EA inf both, but no liability method only bc method not ©</v>
      </c>
      <c r="I11">
        <f>'Q2-TM'!E11</f>
        <v>1</v>
      </c>
      <c r="J11" t="str">
        <f>'Q2-TM'!F11</f>
        <v>no good/servv with video?</v>
      </c>
      <c r="K11">
        <f>'Q2-Box'!F11</f>
        <v>6</v>
      </c>
      <c r="L11" t="str">
        <f>'Q2-Box'!G11</f>
        <v>TD defn; req use in commerce</v>
      </c>
      <c r="M11">
        <f>'short answer'!L12</f>
        <v>5</v>
      </c>
      <c r="N11" t="str">
        <f>'short answer'!M12</f>
        <v>Q9-only fail if simple shape/phrase</v>
      </c>
      <c r="O11" s="17">
        <v>99.18</v>
      </c>
    </row>
    <row r="12" spans="1:15" x14ac:dyDescent="0.2">
      <c r="A12" s="1">
        <v>4037</v>
      </c>
      <c r="B12">
        <v>10</v>
      </c>
      <c r="C12">
        <f>'Q1a-b'!F12</f>
        <v>41</v>
      </c>
      <c r="D12" s="18" t="str">
        <f>'Q1a-b'!G12</f>
        <v>103 - "almost all elements"</v>
      </c>
      <c r="E12">
        <f>'Q1c-e'!E12</f>
        <v>8.5</v>
      </c>
      <c r="F12" t="str">
        <f>'Q1c-e'!F12</f>
        <v>0 Rule/A nom; TS misapp IF TS; 102(b) overcome if files w/tihin 1 yr?</v>
      </c>
      <c r="G12">
        <f>'Q2a-(C)'!K12</f>
        <v>22</v>
      </c>
      <c r="H12">
        <f>'Q2a-(C)'!L12</f>
        <v>0</v>
      </c>
      <c r="I12">
        <f>'Q2-TM'!E12</f>
        <v>8</v>
      </c>
      <c r="J12">
        <f>'Q2-TM'!F12</f>
        <v>0</v>
      </c>
      <c r="K12">
        <f>'Q2-Box'!F12</f>
        <v>3.5</v>
      </c>
      <c r="L12" t="str">
        <f>'Q2-Box'!G12</f>
        <v>scope only for TD</v>
      </c>
      <c r="M12">
        <f>'short answer'!L13</f>
        <v>15</v>
      </c>
      <c r="N12" t="str">
        <f>'short answer'!M13</f>
        <v>Q8-"making new"; Q9-notes/phone not ©?</v>
      </c>
      <c r="O12" s="17">
        <v>109.03</v>
      </c>
    </row>
    <row r="13" spans="1:15" x14ac:dyDescent="0.2">
      <c r="A13" s="1">
        <v>4234</v>
      </c>
      <c r="B13">
        <v>12</v>
      </c>
      <c r="C13">
        <f>'Q1a-b'!F13</f>
        <v>27</v>
      </c>
      <c r="D13" s="18" t="str">
        <f>'Q1a-b'!G13</f>
        <v xml:space="preserve">1 p all patent; 103-pillow field; prob display;  GR "sim prob"; 0 diff/motiv/2d </v>
      </c>
      <c r="E13">
        <f>'Q1c-e'!E13</f>
        <v>14</v>
      </c>
      <c r="F13" t="str">
        <f>'Q1c-e'!F13</f>
        <v>0A nom  (got rules); TS misapp</v>
      </c>
      <c r="G13">
        <f>'Q2a-(C)'!K13</f>
        <v>21</v>
      </c>
      <c r="H13" t="str">
        <f>'Q2a-(C)'!L13</f>
        <v>EA- no hero</v>
      </c>
      <c r="I13">
        <f>'Q2-TM'!E13</f>
        <v>7</v>
      </c>
      <c r="J13">
        <f>'Q2-TM'!F13</f>
        <v>0</v>
      </c>
      <c r="K13">
        <f>'Q2-Box'!F13</f>
        <v>9.5</v>
      </c>
      <c r="L13" t="str">
        <f>'Q2-Box'!G13</f>
        <v>not used in commerce bc no sales</v>
      </c>
      <c r="M13">
        <f>'short answer'!L14</f>
        <v>16</v>
      </c>
      <c r="N13" t="str">
        <f>'short answer'!M14</f>
        <v>Q8-digital</v>
      </c>
      <c r="O13" s="17">
        <v>101.95</v>
      </c>
    </row>
    <row r="14" spans="1:15" x14ac:dyDescent="0.2">
      <c r="A14" s="1">
        <v>4239</v>
      </c>
      <c r="B14">
        <v>10</v>
      </c>
      <c r="C14">
        <f>'Q1a-b'!F14</f>
        <v>35.5</v>
      </c>
      <c r="D14" s="18" t="str">
        <f>'Q1a-b'!G14</f>
        <v>field = lap desk; 0 expln of JP etc for analog</v>
      </c>
      <c r="E14">
        <f>'Q1c-e'!E14</f>
        <v>14.5</v>
      </c>
      <c r="F14" t="str">
        <f>'Q1c-e'!F14</f>
        <v>skip 3d cir A;</v>
      </c>
      <c r="G14">
        <f>'Q2a-(C)'!K14</f>
        <v>30</v>
      </c>
      <c r="H14" t="str">
        <f>'Q2a-(C)'!L14</f>
        <v>EA no expln</v>
      </c>
      <c r="I14">
        <f>'Q2-TM'!E14</f>
        <v>9</v>
      </c>
      <c r="J14">
        <f>'Q2-TM'!F14</f>
        <v>0</v>
      </c>
      <c r="K14">
        <f>'Q2-Box'!F14</f>
        <v>8</v>
      </c>
      <c r="L14" t="str">
        <f>'Q2-Box'!G14</f>
        <v>bullets</v>
      </c>
      <c r="M14">
        <f>'short answer'!L15</f>
        <v>13.5</v>
      </c>
      <c r="N14">
        <f>'short answer'!M15</f>
        <v>0</v>
      </c>
      <c r="O14" s="17">
        <v>108.13</v>
      </c>
    </row>
    <row r="15" spans="1:15" x14ac:dyDescent="0.2">
      <c r="A15" s="1">
        <v>4606</v>
      </c>
      <c r="B15" s="16">
        <v>4</v>
      </c>
      <c r="C15">
        <f>'Q1a-b'!F15</f>
        <v>8.5</v>
      </c>
      <c r="D15" s="18" t="str">
        <f>'Q1a-b'!G15</f>
        <v>0 claim construc; DOE; both inf; Iceland A; 0 comparison of art to inv or 2d</v>
      </c>
      <c r="E15">
        <f>'Q1c-e'!E15</f>
        <v>5</v>
      </c>
      <c r="F15" t="str">
        <f>'Q1c-e'!F15</f>
        <v>missing nom fair use facrtors; no TS misappro bc not reas secrecy; prod changed?</v>
      </c>
      <c r="G15">
        <f>'Q2a-(C)'!K15</f>
        <v>0</v>
      </c>
      <c r="H15" t="str">
        <f>'Q2a-(C)'!L15</f>
        <v>fair use weak, altho got unlikely fair (D use to create logo?)</v>
      </c>
      <c r="I15">
        <f>'Q2-TM'!E15</f>
        <v>4.5</v>
      </c>
      <c r="J15">
        <f>'Q2-TM'!F15</f>
        <v>0</v>
      </c>
      <c r="K15">
        <f>'Q2-Box'!F15</f>
        <v>4.5</v>
      </c>
      <c r="L15" t="str">
        <f>'Q2-Box'!G15</f>
        <v>"local" TD and not useful?; broad protection unfair</v>
      </c>
      <c r="M15">
        <f>'short answer'!L16</f>
        <v>6.5</v>
      </c>
      <c r="N15" t="str">
        <f>'short answer'!M16</f>
        <v>Q1-not to ID co;Q5-would be useful (unclear)</v>
      </c>
      <c r="O15" s="17">
        <v>92.65</v>
      </c>
    </row>
    <row r="16" spans="1:15" x14ac:dyDescent="0.2">
      <c r="A16" s="1">
        <v>5010</v>
      </c>
      <c r="B16">
        <v>10</v>
      </c>
      <c r="C16">
        <f>'Q1a-b'!F16</f>
        <v>32.5</v>
      </c>
      <c r="D16" s="18" t="str">
        <f>'Q1a-b'!G16</f>
        <v>confu construc-think PH does NOT limit?; 103-no diff ID/A; no 2d consid</v>
      </c>
      <c r="E16">
        <f>'Q1c-e'!E16</f>
        <v>13</v>
      </c>
      <c r="F16" t="str">
        <f>'Q1c-e'!F16</f>
        <v>nom rules unclear for circuits &amp; think axn needed 9cir; recog might not be valu, but ult says likely claim; new req</v>
      </c>
      <c r="G16">
        <f>'Q2a-(C)'!K16</f>
        <v>19</v>
      </c>
      <c r="H16" t="str">
        <f>'Q2a-(C)'!L16</f>
        <v xml:space="preserve">got phrase NA; </v>
      </c>
      <c r="I16">
        <f>'Q2-TM'!E16</f>
        <v>10</v>
      </c>
      <c r="J16">
        <f>'Q2-TM'!F16</f>
        <v>0</v>
      </c>
      <c r="K16">
        <f>'Q2-Box'!F16</f>
        <v>0.5</v>
      </c>
      <c r="L16" t="str">
        <f>'Q2-Box'!G16</f>
        <v>lists things s.a. tree image, instruc, etc</v>
      </c>
      <c r="M16">
        <f>'short answer'!L17</f>
        <v>5</v>
      </c>
      <c r="N16" t="str">
        <f>'short answer'!M17</f>
        <v>Q1-ord lang w/I mark;bar w/I country apply</v>
      </c>
      <c r="O16" s="17">
        <v>107.5</v>
      </c>
    </row>
    <row r="17" spans="1:15" x14ac:dyDescent="0.2">
      <c r="A17" s="1">
        <v>6519</v>
      </c>
      <c r="B17">
        <v>8</v>
      </c>
      <c r="C17">
        <f>'Q1a-b'!F17</f>
        <v>35.5</v>
      </c>
      <c r="D17" s="18" t="str">
        <f>'Q1a-b'!G17</f>
        <v>construc sorta unclear; but good A; 102(a)-tweet?; no inv expln; 103 bulleted</v>
      </c>
      <c r="E17">
        <f>'Q1c-e'!E17</f>
        <v>8.5</v>
      </c>
      <c r="F17" t="str">
        <f>'Q1c-e'!F17</f>
        <v xml:space="preserve">0 rule nom- "use as needed"; </v>
      </c>
      <c r="G17">
        <f>'Q2a-(C)'!K17</f>
        <v>7.5</v>
      </c>
      <c r="H17" t="str">
        <f>'Q2a-(C)'!L17</f>
        <v>noncomm; transf use</v>
      </c>
      <c r="I17">
        <f>'Q2-TM'!E17</f>
        <v>5</v>
      </c>
      <c r="J17">
        <f>'Q2-TM'!F17</f>
        <v>0</v>
      </c>
      <c r="K17">
        <f>'Q2-Box'!F17</f>
        <v>5</v>
      </c>
      <c r="L17" t="str">
        <f>'Q2-Box'!G17</f>
        <v>side branches aesthetic; need 2d meaning</v>
      </c>
      <c r="M17">
        <f>'short answer'!L18</f>
        <v>4</v>
      </c>
      <c r="N17" t="str">
        <f>'short answer'!M18</f>
        <v>Q1-not as a mark, but own goods/serv</v>
      </c>
      <c r="O17" s="17">
        <v>100.46</v>
      </c>
    </row>
    <row r="18" spans="1:15" x14ac:dyDescent="0.2">
      <c r="A18" s="1">
        <v>6571</v>
      </c>
      <c r="B18">
        <v>12</v>
      </c>
      <c r="C18">
        <f>'Q1a-b'!F18</f>
        <v>40</v>
      </c>
      <c r="D18" s="18" t="str">
        <f>'Q1a-b'!G18</f>
        <v>sortta cursory inf A;</v>
      </c>
      <c r="E18">
        <f>'Q1c-e'!E18</f>
        <v>14.5</v>
      </c>
      <c r="F18" t="str">
        <f>'Q1c-e'!F18</f>
        <v>fail 9 cir?;</v>
      </c>
      <c r="G18">
        <f>'Q2a-(C)'!K18</f>
        <v>18</v>
      </c>
      <c r="H18">
        <f>'Q2a-(C)'!L18</f>
        <v>0</v>
      </c>
      <c r="I18">
        <f>'Q2-TM'!E18</f>
        <v>7.5</v>
      </c>
      <c r="J18">
        <f>'Q2-TM'!F18</f>
        <v>0</v>
      </c>
      <c r="K18">
        <f>'Q2-Box'!F18</f>
        <v>7.5</v>
      </c>
      <c r="L18">
        <f>'Q2-Box'!G18</f>
        <v>0</v>
      </c>
      <c r="M18">
        <f>'short answer'!L19</f>
        <v>12</v>
      </c>
      <c r="N18" t="str">
        <f>'short answer'!M19</f>
        <v>Q1-ord lang; 2</v>
      </c>
      <c r="O18" s="17">
        <v>112.3</v>
      </c>
    </row>
    <row r="19" spans="1:15" x14ac:dyDescent="0.2">
      <c r="A19" s="1">
        <v>6785</v>
      </c>
      <c r="B19" s="16">
        <v>4</v>
      </c>
      <c r="C19">
        <f>'Q1a-b'!F19</f>
        <v>37.5</v>
      </c>
      <c r="D19" s="18" t="str">
        <f>'Q1a-b'!G19</f>
        <v>sortta cursory inf A; good 2d consid</v>
      </c>
      <c r="E19">
        <f>'Q1c-e'!E19</f>
        <v>1.5</v>
      </c>
      <c r="F19" t="str">
        <f>'Q1c-e'!F19</f>
        <v>0 nom mentioned; not reas secrecy</v>
      </c>
      <c r="G19">
        <f>'Q2a-(C)'!K19</f>
        <v>11.5</v>
      </c>
      <c r="H19" t="str">
        <f>'Q2a-(C)'!L19</f>
        <v>EA-0 hero; for method said expression might be ©, but 0 on inf</v>
      </c>
      <c r="I19">
        <f>'Q2-TM'!E19</f>
        <v>3</v>
      </c>
      <c r="J19">
        <f>'Q2-TM'!F19</f>
        <v>0</v>
      </c>
      <c r="K19">
        <f>'Q2-Box'!F19</f>
        <v>5</v>
      </c>
      <c r="L19" t="str">
        <f>'Q2-Box'!G19</f>
        <v>box not useful art bc no util function</v>
      </c>
      <c r="M19">
        <f>'short answer'!L20</f>
        <v>2.5</v>
      </c>
      <c r="N19" t="str">
        <f>'short answer'!M20</f>
        <v>Q1- "yes"; Q2 bkwards;Q8 "no liab"</v>
      </c>
      <c r="O19" s="17">
        <v>98.740000000000009</v>
      </c>
    </row>
    <row r="20" spans="1:15" x14ac:dyDescent="0.2">
      <c r="A20" s="1">
        <v>7395</v>
      </c>
      <c r="B20">
        <v>10</v>
      </c>
      <c r="C20">
        <f>'Q1a-b'!F20</f>
        <v>6</v>
      </c>
      <c r="D20" s="18" t="str">
        <f>'Q1a-b'!G20</f>
        <v>0 construc; inf "A" is Y/N 103 almost 0 -  lists art and says no motiv combine and likely pat</v>
      </c>
      <c r="E20">
        <f>'Q1c-e'!E20</f>
        <v>4</v>
      </c>
      <c r="F20" t="str">
        <f>'Q1c-e'!F20</f>
        <v>nom ok if  avoid limply partner; NO RULE; ex misappro; 103</v>
      </c>
      <c r="G20">
        <f>'Q2a-(C)'!K20</f>
        <v>2</v>
      </c>
      <c r="H20" t="str">
        <f>'Q2a-(C)'!L20</f>
        <v>1 sent 107; lists copyrightable things?</v>
      </c>
      <c r="I20">
        <f>'Q2-TM'!E20</f>
        <v>3</v>
      </c>
      <c r="J20">
        <f>'Q2-TM'!F20</f>
        <v>0</v>
      </c>
      <c r="K20">
        <f>'Q2-Box'!F20</f>
        <v>1</v>
      </c>
      <c r="L20" t="str">
        <f>'Q2-Box'!G20</f>
        <v>TD and copyright</v>
      </c>
      <c r="M20">
        <f>'short answer'!L21</f>
        <v>14</v>
      </c>
      <c r="N20" t="str">
        <f>'short answer'!M21</f>
        <v>Q1 -ord lang to ID service; Q7-pub NA news</v>
      </c>
      <c r="O20" s="17">
        <v>101.67</v>
      </c>
    </row>
    <row r="21" spans="1:15" x14ac:dyDescent="0.2">
      <c r="A21" s="1">
        <v>7416</v>
      </c>
      <c r="B21" s="15">
        <v>14</v>
      </c>
      <c r="C21">
        <f>'Q1a-b'!F21</f>
        <v>43.5</v>
      </c>
      <c r="D21" s="18" t="str">
        <f>'Q1a-b'!G21</f>
        <v>PP missing edge?; got shak Tank, but think copying rebuts 103</v>
      </c>
      <c r="E21">
        <f>'Q1c-e'!E21</f>
        <v>9.5</v>
      </c>
      <c r="F21" t="str">
        <f>'Q1c-e'!F21</f>
        <v>0 nom R/A; think password secret; IF wait &gt; year prob?</v>
      </c>
      <c r="G21">
        <f>'Q2a-(C)'!K21</f>
        <v>9</v>
      </c>
      <c r="H21" t="str">
        <f>'Q2a-(C)'!L21</f>
        <v>107 ubcky single boud</v>
      </c>
      <c r="I21">
        <f>'Q2-TM'!E21</f>
        <v>4</v>
      </c>
      <c r="J21">
        <f>'Q2-TM'!F21</f>
        <v>0</v>
      </c>
      <c r="K21">
        <f>'Q2-Box'!F21</f>
        <v>8</v>
      </c>
      <c r="L21">
        <f>'Q2-Box'!G21</f>
        <v>0</v>
      </c>
      <c r="M21">
        <f>'short answer'!L22</f>
        <v>19.5</v>
      </c>
      <c r="N21">
        <f>'short answer'!M22</f>
        <v>0</v>
      </c>
      <c r="O21" s="17">
        <v>112.99000000000001</v>
      </c>
    </row>
    <row r="22" spans="1:15" x14ac:dyDescent="0.2">
      <c r="A22" s="1">
        <v>7531</v>
      </c>
      <c r="B22">
        <v>12</v>
      </c>
      <c r="C22">
        <f>'Q1a-b'!F22</f>
        <v>46.5</v>
      </c>
      <c r="D22" s="18" t="str">
        <f>'Q1a-b'!G22</f>
        <v>miss Lamical 2 sides;pillow NA?; diff = 3 edge and soft triangle</v>
      </c>
      <c r="E22">
        <f>'Q1c-e'!E22</f>
        <v>14</v>
      </c>
      <c r="F22" t="str">
        <f>'Q1c-e'!F22</f>
        <v>0 nom R/A;assumes vlu, altho notes vlu as issue + password;</v>
      </c>
      <c r="G22">
        <f>'Q2a-(C)'!K22</f>
        <v>14.5</v>
      </c>
      <c r="H22">
        <f>'Q2a-(C)'!L22</f>
        <v>0</v>
      </c>
      <c r="I22">
        <f>'Q2-TM'!E22</f>
        <v>15</v>
      </c>
      <c r="J22">
        <f>'Q2-TM'!F22</f>
        <v>0</v>
      </c>
      <c r="K22">
        <f>'Q2-Box'!F22</f>
        <v>14</v>
      </c>
      <c r="L22" t="str">
        <f>'Q2-Box'!G22</f>
        <v>TD if start selling; 0 A scope for copyright</v>
      </c>
      <c r="M22">
        <f>'short answer'!L23</f>
        <v>13</v>
      </c>
      <c r="N22">
        <f>'short answer'!M23</f>
        <v>0</v>
      </c>
      <c r="O22" s="17">
        <v>105.6</v>
      </c>
    </row>
    <row r="23" spans="1:15" x14ac:dyDescent="0.2">
      <c r="A23" s="1">
        <v>8236</v>
      </c>
      <c r="B23" s="15">
        <v>14</v>
      </c>
      <c r="C23">
        <f>'Q1a-b'!F23</f>
        <v>30.5</v>
      </c>
      <c r="D23" s="18" t="str">
        <f>'Q1a-b'!G23</f>
        <v>103 cursory 1 para; 2d consid rule only</v>
      </c>
      <c r="E23">
        <f>'Q1c-e'!E23</f>
        <v>9</v>
      </c>
      <c r="F23" t="str">
        <f>'Q1c-e'!F23</f>
        <v>think affirm endorse w/o nom rules; 103</v>
      </c>
      <c r="G23">
        <f>'Q2a-(C)'!K23</f>
        <v>2.5</v>
      </c>
      <c r="H23" t="str">
        <f>'Q2a-(C)'!L23</f>
        <v>"weak © for asset</v>
      </c>
      <c r="I23">
        <f>'Q2-TM'!E23</f>
        <v>1.5</v>
      </c>
      <c r="J23" t="str">
        <f>'Q2-TM'!F23</f>
        <v>most important - not related, so know not sponsored?; not tarnish bc positive</v>
      </c>
      <c r="K23">
        <f>'Q2-Box'!F23</f>
        <v>4</v>
      </c>
      <c r="L23">
        <f>'Q2-Box'!G23</f>
        <v>0</v>
      </c>
      <c r="M23">
        <f>'short answer'!L24</f>
        <v>10.5</v>
      </c>
      <c r="N23" t="str">
        <f>'short answer'!M24</f>
        <v xml:space="preserve"> Q7-pub NA news; claim didn't have a lot of time to finish</v>
      </c>
      <c r="O23" s="17">
        <v>99.71</v>
      </c>
    </row>
    <row r="24" spans="1:15" x14ac:dyDescent="0.2">
      <c r="A24" s="1">
        <v>8868</v>
      </c>
      <c r="B24">
        <v>12</v>
      </c>
      <c r="C24">
        <f>'Q1a-b'!F24</f>
        <v>43</v>
      </c>
      <c r="D24" s="18" t="str">
        <f>'Q1a-b'!G24</f>
        <v>0 2d consid</v>
      </c>
      <c r="E24">
        <f>'Q1c-e'!E24</f>
        <v>17</v>
      </c>
      <c r="F24" t="str">
        <f>'Q1c-e'!F24</f>
        <v>nom R w/o A; password weak, but thinks TW claim;</v>
      </c>
      <c r="G24">
        <f>'Q2a-(C)'!K24</f>
        <v>25.5</v>
      </c>
      <c r="H24">
        <f>'Q2a-(C)'!L24</f>
        <v>0</v>
      </c>
      <c r="I24">
        <f>'Q2-TM'!E24</f>
        <v>3.5</v>
      </c>
      <c r="J24">
        <f>'Q2-TM'!F24</f>
        <v>0</v>
      </c>
      <c r="K24">
        <f>'Q2-Box'!F24</f>
        <v>9.5</v>
      </c>
      <c r="L24" t="str">
        <f>'Q2-Box'!G24</f>
        <v>not used on good/services for SALE in commerce if given to volunteers</v>
      </c>
      <c r="M24">
        <f>'short answer'!L25</f>
        <v>17.5</v>
      </c>
      <c r="N24">
        <f>'short answer'!M25</f>
        <v>0</v>
      </c>
      <c r="O24" s="17">
        <v>112.2</v>
      </c>
    </row>
    <row r="25" spans="1:15" x14ac:dyDescent="0.2">
      <c r="A25" s="1">
        <v>9113</v>
      </c>
      <c r="B25">
        <v>8</v>
      </c>
      <c r="C25">
        <f>'Q1a-b'!F25</f>
        <v>40</v>
      </c>
      <c r="D25" s="18" t="str">
        <f>'Q1a-b'!G25</f>
        <v>construc slightly unclear; Lamical 1 edge; ICELAND 103-minus 1?; unclear diff)</v>
      </c>
      <c r="E25">
        <f>'Q1c-e'!E25</f>
        <v>7.5</v>
      </c>
      <c r="F25" t="str">
        <f>'Q1c-e'!F25</f>
        <v>nom cir R/A missing;  103</v>
      </c>
      <c r="G25">
        <f>'Q2a-(C)'!K25</f>
        <v>14.5</v>
      </c>
      <c r="H25">
        <f>'Q2a-(C)'!L25</f>
        <v>0</v>
      </c>
      <c r="I25">
        <f>'Q2-TM'!E25</f>
        <v>7.5</v>
      </c>
      <c r="J25">
        <f>'Q2-TM'!F25</f>
        <v>0</v>
      </c>
      <c r="K25">
        <f>'Q2-Box'!F25</f>
        <v>9</v>
      </c>
      <c r="L25" t="str">
        <f>'Q2-Box'!G25</f>
        <v>provided volunteers = not in commerce</v>
      </c>
      <c r="M25">
        <f>'short answer'!L26</f>
        <v>12.5</v>
      </c>
      <c r="N25">
        <f>'short answer'!M26</f>
        <v>0</v>
      </c>
      <c r="O25" s="17">
        <v>111.2</v>
      </c>
    </row>
    <row r="26" spans="1:15" x14ac:dyDescent="0.2">
      <c r="A26" s="1">
        <v>9194</v>
      </c>
      <c r="B26">
        <v>10</v>
      </c>
      <c r="C26">
        <f>'Q1a-b'!F26</f>
        <v>30.5</v>
      </c>
      <c r="D26" s="18" t="str">
        <f>'Q1a-b'!G26</f>
        <v>1 support;pref embod as REQ; not full 102(a) rule; 102 cursory; 103 0 clear diff; think copying rebut</v>
      </c>
      <c r="E26">
        <f>'Q1c-e'!E26</f>
        <v>11.5</v>
      </c>
      <c r="F26" t="str">
        <f>'Q1c-e'!F26</f>
        <v xml:space="preserve">no R/A nom - only recc; </v>
      </c>
      <c r="G26">
        <f>'Q2a-(C)'!K26</f>
        <v>7.5</v>
      </c>
      <c r="H26" t="str">
        <f>'Q2a-(C)'!L26</f>
        <v>no inf?; noncomm; transf work bc diff use?; took heart; not likely effect; method likely barred</v>
      </c>
      <c r="I26">
        <f>'Q2-TM'!E26</f>
        <v>3</v>
      </c>
      <c r="J26">
        <f>'Q2-TM'!F26</f>
        <v>0</v>
      </c>
      <c r="K26">
        <f>'Q2-Box'!F26</f>
        <v>7.5</v>
      </c>
      <c r="L26" t="str">
        <f>'Q2-Box'!G26</f>
        <v>commerce likely bc ship; TD mostly rules</v>
      </c>
      <c r="M26">
        <f>'short answer'!L27</f>
        <v>7</v>
      </c>
      <c r="N26" t="str">
        <f>'short answer'!M27</f>
        <v xml:space="preserve">Q1-ord lang; </v>
      </c>
      <c r="O26" s="17">
        <v>106.5</v>
      </c>
    </row>
    <row r="27" spans="1:15" x14ac:dyDescent="0.2">
      <c r="A27" s="1">
        <v>9561</v>
      </c>
      <c r="B27">
        <v>10</v>
      </c>
      <c r="C27">
        <f>'Q1a-b'!F27</f>
        <v>30.5</v>
      </c>
      <c r="D27" s="18" t="str">
        <f>'Q1a-b'!G27</f>
        <v>inf A sorta unclear; 103- 0 skill/analog ID/0 UD diff; no conclu 2d consid</v>
      </c>
      <c r="E27">
        <f>'Q1c-e'!E27</f>
        <v>9.5</v>
      </c>
      <c r="F27" t="str">
        <f>'Q1c-e'!F27</f>
        <v>descrip fair use!; confu bc S. Tank expands &amp; intent; likely  ec vlau, but also info ascer thru proper means; likely not pat bc sold</v>
      </c>
      <c r="G27">
        <f>'Q2a-(C)'!K27</f>
        <v>7.5</v>
      </c>
      <c r="H27" t="str">
        <f>'Q2a-(C)'!L27</f>
        <v xml:space="preserve">miss single bound un©; think noncomm; sim 2 live crew; </v>
      </c>
      <c r="I27">
        <f>'Q2-TM'!E27</f>
        <v>0.5</v>
      </c>
      <c r="J27">
        <f>'Q2-TM'!F27</f>
        <v>0</v>
      </c>
      <c r="K27">
        <f>'Q2-Box'!F27</f>
        <v>3</v>
      </c>
      <c r="L27" t="str">
        <f>'Q2-Box'!G27</f>
        <v>comm use is solicit funds</v>
      </c>
      <c r="M27">
        <f>'short answer'!L28</f>
        <v>10.5</v>
      </c>
      <c r="N27">
        <f>'short answer'!M28</f>
        <v>0</v>
      </c>
      <c r="O27" s="17">
        <v>109.43</v>
      </c>
    </row>
    <row r="28" spans="1:15" x14ac:dyDescent="0.2">
      <c r="A28" s="1">
        <v>9582</v>
      </c>
      <c r="B28">
        <v>12</v>
      </c>
      <c r="C28">
        <f>'Q1a-b'!F28</f>
        <v>41.5</v>
      </c>
      <c r="D28" s="18" t="str">
        <f>'Q1a-b'!G28</f>
        <v>miss L not all edge; 102(a) &gt; 1 yr?; confused field v. prob; but got 1 edge v. all</v>
      </c>
      <c r="E28">
        <f>'Q1c-e'!E28</f>
        <v>10</v>
      </c>
      <c r="F28" t="str">
        <f>'Q1c-e'!F28</f>
        <v>think 9cir prob; no 3d Cir A; not reas secret; prior art by prior patent</v>
      </c>
      <c r="G28">
        <f>'Q2a-(C)'!K28</f>
        <v>30</v>
      </c>
      <c r="H28" t="str">
        <f>'Q2a-(C)'!L28</f>
        <v>0 single bound; cc, but owise ok inf; 107 - all but mention why min transf v. Dr. Sues &amp; equiv mkt</v>
      </c>
      <c r="I28">
        <f>'Q2-TM'!E28</f>
        <v>8</v>
      </c>
      <c r="J28">
        <f>'Q2-TM'!F28</f>
        <v>0</v>
      </c>
      <c r="K28">
        <f>'Q2-Box'!F28</f>
        <v>7.5</v>
      </c>
      <c r="L28">
        <f>'Q2-Box'!G28</f>
        <v>0</v>
      </c>
      <c r="M28">
        <f>'short answer'!L29</f>
        <v>13.5</v>
      </c>
      <c r="N28" t="str">
        <f>'short answer'!M29</f>
        <v>Q1-not using Lyft</v>
      </c>
      <c r="O28" s="17">
        <v>113.1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6409-C4EF-EE40-96A0-337DA3EE8914}">
  <dimension ref="A1:G36"/>
  <sheetViews>
    <sheetView workbookViewId="0">
      <selection activeCell="F2" sqref="F2:G28"/>
    </sheetView>
  </sheetViews>
  <sheetFormatPr baseColWidth="10" defaultRowHeight="16" x14ac:dyDescent="0.2"/>
  <cols>
    <col min="1" max="1" width="7.33203125" bestFit="1" customWidth="1"/>
    <col min="2" max="2" width="3" customWidth="1"/>
    <col min="3" max="3" width="6.1640625" bestFit="1" customWidth="1"/>
    <col min="4" max="6" width="5.1640625" bestFit="1" customWidth="1"/>
    <col min="7" max="7" width="80.5" bestFit="1" customWidth="1"/>
  </cols>
  <sheetData>
    <row r="1" spans="1:7" x14ac:dyDescent="0.2">
      <c r="A1" t="s">
        <v>0</v>
      </c>
      <c r="C1" s="2" t="s">
        <v>1</v>
      </c>
      <c r="D1" s="2">
        <v>102</v>
      </c>
      <c r="E1" s="2">
        <v>103</v>
      </c>
      <c r="G1" t="s">
        <v>2</v>
      </c>
    </row>
    <row r="2" spans="1:7" x14ac:dyDescent="0.2">
      <c r="A2" t="s">
        <v>58</v>
      </c>
      <c r="C2" s="2">
        <v>25</v>
      </c>
      <c r="D2" s="2">
        <v>12</v>
      </c>
      <c r="E2" s="2">
        <v>18</v>
      </c>
      <c r="F2">
        <f>SUM(C2:E2)</f>
        <v>55</v>
      </c>
    </row>
    <row r="4" spans="1:7" x14ac:dyDescent="0.2">
      <c r="A4" s="1">
        <v>1248</v>
      </c>
      <c r="C4">
        <v>18.5</v>
      </c>
      <c r="D4">
        <v>9</v>
      </c>
      <c r="E4">
        <v>12.5</v>
      </c>
      <c r="F4">
        <f t="shared" ref="F4:F28" si="0">SUM(C4:E4)</f>
        <v>40</v>
      </c>
    </row>
    <row r="5" spans="1:7" x14ac:dyDescent="0.2">
      <c r="A5" s="1">
        <v>1889</v>
      </c>
      <c r="C5">
        <v>20</v>
      </c>
      <c r="D5" s="10">
        <v>5</v>
      </c>
      <c r="E5">
        <v>12</v>
      </c>
      <c r="F5">
        <f t="shared" si="0"/>
        <v>37</v>
      </c>
      <c r="G5" t="s">
        <v>22</v>
      </c>
    </row>
    <row r="6" spans="1:7" x14ac:dyDescent="0.2">
      <c r="A6" s="1">
        <v>2099</v>
      </c>
      <c r="C6">
        <v>14.5</v>
      </c>
      <c r="D6">
        <v>12</v>
      </c>
      <c r="E6">
        <v>14</v>
      </c>
      <c r="F6">
        <f t="shared" si="0"/>
        <v>40.5</v>
      </c>
    </row>
    <row r="7" spans="1:7" x14ac:dyDescent="0.2">
      <c r="A7" s="1">
        <v>2410</v>
      </c>
      <c r="C7">
        <v>23</v>
      </c>
      <c r="D7">
        <v>10</v>
      </c>
      <c r="E7">
        <v>17</v>
      </c>
      <c r="F7">
        <f t="shared" si="0"/>
        <v>50</v>
      </c>
      <c r="G7" t="s">
        <v>23</v>
      </c>
    </row>
    <row r="8" spans="1:7" x14ac:dyDescent="0.2">
      <c r="A8" s="1">
        <v>2809</v>
      </c>
      <c r="C8">
        <v>21.5</v>
      </c>
      <c r="D8">
        <v>10.5</v>
      </c>
      <c r="E8">
        <v>11</v>
      </c>
      <c r="F8">
        <f t="shared" si="0"/>
        <v>43</v>
      </c>
    </row>
    <row r="9" spans="1:7" x14ac:dyDescent="0.2">
      <c r="A9" s="1">
        <v>3071</v>
      </c>
      <c r="C9">
        <v>23.5</v>
      </c>
      <c r="D9">
        <v>7</v>
      </c>
      <c r="E9" s="10">
        <v>4.5</v>
      </c>
      <c r="F9">
        <f t="shared" si="0"/>
        <v>35</v>
      </c>
      <c r="G9" t="s">
        <v>14</v>
      </c>
    </row>
    <row r="10" spans="1:7" x14ac:dyDescent="0.2">
      <c r="A10" s="1">
        <v>3470</v>
      </c>
      <c r="C10">
        <v>22</v>
      </c>
      <c r="D10">
        <v>11</v>
      </c>
      <c r="E10">
        <v>12.5</v>
      </c>
      <c r="F10">
        <f t="shared" si="0"/>
        <v>45.5</v>
      </c>
    </row>
    <row r="11" spans="1:7" x14ac:dyDescent="0.2">
      <c r="A11" s="1">
        <v>3757</v>
      </c>
      <c r="C11">
        <v>15</v>
      </c>
      <c r="D11" s="3">
        <v>2</v>
      </c>
      <c r="E11">
        <v>5</v>
      </c>
      <c r="F11">
        <f t="shared" si="0"/>
        <v>22</v>
      </c>
      <c r="G11" t="s">
        <v>15</v>
      </c>
    </row>
    <row r="12" spans="1:7" x14ac:dyDescent="0.2">
      <c r="A12" s="1">
        <v>4037</v>
      </c>
      <c r="C12">
        <v>20</v>
      </c>
      <c r="D12">
        <v>12</v>
      </c>
      <c r="E12">
        <v>9</v>
      </c>
      <c r="F12">
        <f t="shared" si="0"/>
        <v>41</v>
      </c>
      <c r="G12" t="s">
        <v>16</v>
      </c>
    </row>
    <row r="13" spans="1:7" x14ac:dyDescent="0.2">
      <c r="A13" s="1">
        <v>4234</v>
      </c>
      <c r="C13">
        <v>15</v>
      </c>
      <c r="D13">
        <v>7.5</v>
      </c>
      <c r="E13" s="10">
        <v>4.5</v>
      </c>
      <c r="F13">
        <f t="shared" si="0"/>
        <v>27</v>
      </c>
      <c r="G13" t="s">
        <v>17</v>
      </c>
    </row>
    <row r="14" spans="1:7" x14ac:dyDescent="0.2">
      <c r="A14" s="1">
        <v>4239</v>
      </c>
      <c r="C14">
        <v>18</v>
      </c>
      <c r="D14">
        <v>8</v>
      </c>
      <c r="E14">
        <v>9.5</v>
      </c>
      <c r="F14">
        <f t="shared" si="0"/>
        <v>35.5</v>
      </c>
      <c r="G14" t="s">
        <v>18</v>
      </c>
    </row>
    <row r="15" spans="1:7" x14ac:dyDescent="0.2">
      <c r="A15" s="1">
        <v>4606</v>
      </c>
      <c r="C15" s="3">
        <v>4.5</v>
      </c>
      <c r="D15" s="10">
        <v>3</v>
      </c>
      <c r="E15" s="3">
        <v>1</v>
      </c>
      <c r="F15">
        <f t="shared" si="0"/>
        <v>8.5</v>
      </c>
      <c r="G15" t="s">
        <v>3</v>
      </c>
    </row>
    <row r="16" spans="1:7" x14ac:dyDescent="0.2">
      <c r="A16" s="1">
        <v>5010</v>
      </c>
      <c r="C16">
        <v>14.5</v>
      </c>
      <c r="D16">
        <v>10.5</v>
      </c>
      <c r="E16">
        <v>7.5</v>
      </c>
      <c r="F16">
        <f t="shared" si="0"/>
        <v>32.5</v>
      </c>
      <c r="G16" t="s">
        <v>4</v>
      </c>
    </row>
    <row r="17" spans="1:7" x14ac:dyDescent="0.2">
      <c r="A17" s="1">
        <v>6519</v>
      </c>
      <c r="C17">
        <v>19.5</v>
      </c>
      <c r="D17">
        <v>8</v>
      </c>
      <c r="E17">
        <v>8</v>
      </c>
      <c r="F17">
        <f t="shared" si="0"/>
        <v>35.5</v>
      </c>
      <c r="G17" t="s">
        <v>5</v>
      </c>
    </row>
    <row r="18" spans="1:7" x14ac:dyDescent="0.2">
      <c r="A18" s="1">
        <v>6571</v>
      </c>
      <c r="C18">
        <v>19</v>
      </c>
      <c r="D18">
        <v>11</v>
      </c>
      <c r="E18">
        <v>10</v>
      </c>
      <c r="F18">
        <f t="shared" si="0"/>
        <v>40</v>
      </c>
      <c r="G18" t="s">
        <v>6</v>
      </c>
    </row>
    <row r="19" spans="1:7" x14ac:dyDescent="0.2">
      <c r="A19" s="1">
        <v>6785</v>
      </c>
      <c r="C19" s="10">
        <v>11.5</v>
      </c>
      <c r="D19">
        <v>11</v>
      </c>
      <c r="E19">
        <v>15</v>
      </c>
      <c r="F19">
        <f t="shared" si="0"/>
        <v>37.5</v>
      </c>
      <c r="G19" t="s">
        <v>19</v>
      </c>
    </row>
    <row r="20" spans="1:7" x14ac:dyDescent="0.2">
      <c r="A20" s="1">
        <v>7395</v>
      </c>
      <c r="C20" s="3">
        <v>5</v>
      </c>
      <c r="D20" s="3">
        <v>0</v>
      </c>
      <c r="E20" s="3">
        <v>1</v>
      </c>
      <c r="F20">
        <f t="shared" si="0"/>
        <v>6</v>
      </c>
      <c r="G20" t="s">
        <v>20</v>
      </c>
    </row>
    <row r="21" spans="1:7" x14ac:dyDescent="0.2">
      <c r="A21" s="1">
        <v>7416</v>
      </c>
      <c r="C21">
        <v>17.5</v>
      </c>
      <c r="D21">
        <v>12</v>
      </c>
      <c r="E21">
        <v>14</v>
      </c>
      <c r="F21">
        <f t="shared" si="0"/>
        <v>43.5</v>
      </c>
      <c r="G21" t="s">
        <v>7</v>
      </c>
    </row>
    <row r="22" spans="1:7" x14ac:dyDescent="0.2">
      <c r="A22" s="1">
        <v>7531</v>
      </c>
      <c r="C22">
        <v>21.5</v>
      </c>
      <c r="D22">
        <v>11</v>
      </c>
      <c r="E22">
        <v>14</v>
      </c>
      <c r="F22">
        <f t="shared" si="0"/>
        <v>46.5</v>
      </c>
      <c r="G22" t="s">
        <v>8</v>
      </c>
    </row>
    <row r="23" spans="1:7" x14ac:dyDescent="0.2">
      <c r="A23" s="1">
        <v>8236</v>
      </c>
      <c r="C23">
        <v>17</v>
      </c>
      <c r="D23">
        <v>10.5</v>
      </c>
      <c r="E23">
        <v>3</v>
      </c>
      <c r="F23">
        <f t="shared" si="0"/>
        <v>30.5</v>
      </c>
      <c r="G23" t="s">
        <v>21</v>
      </c>
    </row>
    <row r="24" spans="1:7" x14ac:dyDescent="0.2">
      <c r="A24" s="1">
        <v>8868</v>
      </c>
      <c r="C24">
        <v>22</v>
      </c>
      <c r="D24">
        <v>10</v>
      </c>
      <c r="E24">
        <v>11</v>
      </c>
      <c r="F24">
        <f t="shared" si="0"/>
        <v>43</v>
      </c>
      <c r="G24" t="s">
        <v>12</v>
      </c>
    </row>
    <row r="25" spans="1:7" x14ac:dyDescent="0.2">
      <c r="A25" s="1">
        <v>9113</v>
      </c>
      <c r="C25">
        <v>20</v>
      </c>
      <c r="D25">
        <v>12</v>
      </c>
      <c r="E25">
        <v>8</v>
      </c>
      <c r="F25">
        <f t="shared" si="0"/>
        <v>40</v>
      </c>
      <c r="G25" t="s">
        <v>13</v>
      </c>
    </row>
    <row r="26" spans="1:7" x14ac:dyDescent="0.2">
      <c r="A26" s="1">
        <v>9194</v>
      </c>
      <c r="C26">
        <v>14</v>
      </c>
      <c r="D26">
        <v>8</v>
      </c>
      <c r="E26">
        <v>8.5</v>
      </c>
      <c r="F26">
        <f t="shared" si="0"/>
        <v>30.5</v>
      </c>
      <c r="G26" t="s">
        <v>9</v>
      </c>
    </row>
    <row r="27" spans="1:7" x14ac:dyDescent="0.2">
      <c r="A27" s="1">
        <v>9561</v>
      </c>
      <c r="C27">
        <v>17</v>
      </c>
      <c r="D27">
        <v>9</v>
      </c>
      <c r="E27">
        <v>4.5</v>
      </c>
      <c r="F27">
        <f t="shared" si="0"/>
        <v>30.5</v>
      </c>
      <c r="G27" t="s">
        <v>11</v>
      </c>
    </row>
    <row r="28" spans="1:7" x14ac:dyDescent="0.2">
      <c r="A28" s="1">
        <v>9582</v>
      </c>
      <c r="C28">
        <v>19.5</v>
      </c>
      <c r="D28">
        <v>9</v>
      </c>
      <c r="E28">
        <v>13</v>
      </c>
      <c r="F28">
        <f t="shared" si="0"/>
        <v>41.5</v>
      </c>
      <c r="G28" t="s">
        <v>10</v>
      </c>
    </row>
    <row r="30" spans="1:7" x14ac:dyDescent="0.2">
      <c r="A30" t="s">
        <v>24</v>
      </c>
      <c r="C30" s="5">
        <f>AVERAGE(C4:C28)</f>
        <v>17.34</v>
      </c>
      <c r="D30" s="5">
        <f>AVERAGE(D4:D28)</f>
        <v>8.76</v>
      </c>
      <c r="E30" s="5">
        <f>AVERAGE(E4:E28)</f>
        <v>9.1999999999999993</v>
      </c>
    </row>
    <row r="31" spans="1:7" x14ac:dyDescent="0.2">
      <c r="A31" t="s">
        <v>25</v>
      </c>
      <c r="C31" s="5">
        <f>STDEV(C4:C28)</f>
        <v>4.8856081163624507</v>
      </c>
      <c r="D31" s="5">
        <f>STDEV(D4:D28)</f>
        <v>3.2310988842807022</v>
      </c>
      <c r="E31" s="5">
        <f>STDEV(E4:E28)</f>
        <v>4.4628092796652945</v>
      </c>
    </row>
    <row r="33" spans="1:5" x14ac:dyDescent="0.2">
      <c r="A33" t="s">
        <v>26</v>
      </c>
      <c r="C33" s="5">
        <f>C30-C31</f>
        <v>12.454391883637548</v>
      </c>
      <c r="D33" s="5">
        <f>D30-D31</f>
        <v>5.5289011157192975</v>
      </c>
      <c r="E33" s="5">
        <f>E30-E31</f>
        <v>4.7371907203347048</v>
      </c>
    </row>
    <row r="34" spans="1:5" x14ac:dyDescent="0.2">
      <c r="A34" t="s">
        <v>115</v>
      </c>
      <c r="C34" s="5">
        <f>C33-C31</f>
        <v>7.5687837672750975</v>
      </c>
      <c r="D34" s="5">
        <f>D33-D31</f>
        <v>2.2978022314385953</v>
      </c>
      <c r="E34" s="5">
        <f>E33-E31</f>
        <v>0.27438144066941028</v>
      </c>
    </row>
    <row r="36" spans="1:5" x14ac:dyDescent="0.2">
      <c r="A36" t="s">
        <v>27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1A1F-4491-0A40-9D26-B8B38EB6D208}">
  <dimension ref="A1:F35"/>
  <sheetViews>
    <sheetView workbookViewId="0">
      <selection activeCell="F2" sqref="F2:F28"/>
    </sheetView>
  </sheetViews>
  <sheetFormatPr baseColWidth="10" defaultRowHeight="16" x14ac:dyDescent="0.2"/>
  <cols>
    <col min="1" max="1" width="6.83203125" customWidth="1"/>
    <col min="2" max="2" width="5" customWidth="1"/>
    <col min="3" max="3" width="4.33203125" customWidth="1"/>
    <col min="4" max="4" width="5" customWidth="1"/>
    <col min="5" max="5" width="6.83203125" customWidth="1"/>
  </cols>
  <sheetData>
    <row r="1" spans="1:6" x14ac:dyDescent="0.2">
      <c r="B1" t="s">
        <v>28</v>
      </c>
      <c r="C1" t="s">
        <v>29</v>
      </c>
      <c r="D1" t="s">
        <v>30</v>
      </c>
      <c r="F1" t="s">
        <v>2</v>
      </c>
    </row>
    <row r="2" spans="1:6" x14ac:dyDescent="0.2">
      <c r="B2">
        <v>10</v>
      </c>
      <c r="C2">
        <v>5</v>
      </c>
      <c r="D2">
        <v>5</v>
      </c>
      <c r="E2">
        <f>SUM(B2:D2)</f>
        <v>20</v>
      </c>
    </row>
    <row r="4" spans="1:6" x14ac:dyDescent="0.2">
      <c r="A4" s="1">
        <v>1248</v>
      </c>
      <c r="B4">
        <v>3.5</v>
      </c>
      <c r="C4">
        <v>1.5</v>
      </c>
      <c r="D4">
        <v>1</v>
      </c>
      <c r="E4">
        <f t="shared" ref="E4:E28" si="0">SUM(B4:D4)</f>
        <v>6</v>
      </c>
      <c r="F4" t="s">
        <v>54</v>
      </c>
    </row>
    <row r="5" spans="1:6" x14ac:dyDescent="0.2">
      <c r="A5" s="1">
        <v>1889</v>
      </c>
      <c r="B5">
        <v>3</v>
      </c>
      <c r="C5">
        <v>0.5</v>
      </c>
      <c r="D5">
        <v>1</v>
      </c>
      <c r="E5">
        <f t="shared" si="0"/>
        <v>4.5</v>
      </c>
      <c r="F5" t="s">
        <v>53</v>
      </c>
    </row>
    <row r="6" spans="1:6" x14ac:dyDescent="0.2">
      <c r="A6" s="1">
        <v>2099</v>
      </c>
      <c r="B6">
        <v>6.5</v>
      </c>
      <c r="C6">
        <v>1</v>
      </c>
      <c r="D6">
        <v>4</v>
      </c>
      <c r="E6">
        <f t="shared" si="0"/>
        <v>11.5</v>
      </c>
      <c r="F6" t="s">
        <v>55</v>
      </c>
    </row>
    <row r="7" spans="1:6" x14ac:dyDescent="0.2">
      <c r="A7" s="1">
        <v>2410</v>
      </c>
      <c r="B7">
        <v>8</v>
      </c>
      <c r="C7">
        <v>2.5</v>
      </c>
      <c r="D7">
        <v>1</v>
      </c>
      <c r="E7">
        <f t="shared" si="0"/>
        <v>11.5</v>
      </c>
      <c r="F7" t="s">
        <v>56</v>
      </c>
    </row>
    <row r="8" spans="1:6" x14ac:dyDescent="0.2">
      <c r="A8" s="1">
        <v>2809</v>
      </c>
      <c r="B8">
        <v>5</v>
      </c>
      <c r="C8">
        <v>3</v>
      </c>
      <c r="D8">
        <v>5</v>
      </c>
      <c r="E8">
        <f t="shared" si="0"/>
        <v>13</v>
      </c>
      <c r="F8" t="s">
        <v>57</v>
      </c>
    </row>
    <row r="9" spans="1:6" x14ac:dyDescent="0.2">
      <c r="A9" s="1">
        <v>3071</v>
      </c>
      <c r="B9">
        <v>3</v>
      </c>
      <c r="C9" s="6">
        <v>0</v>
      </c>
      <c r="D9" s="6">
        <v>0</v>
      </c>
      <c r="E9">
        <f t="shared" si="0"/>
        <v>3</v>
      </c>
      <c r="F9" t="s">
        <v>33</v>
      </c>
    </row>
    <row r="10" spans="1:6" x14ac:dyDescent="0.2">
      <c r="A10" s="1">
        <v>3470</v>
      </c>
      <c r="B10">
        <v>8.5</v>
      </c>
      <c r="C10">
        <v>2</v>
      </c>
      <c r="D10">
        <v>5</v>
      </c>
      <c r="E10">
        <f t="shared" si="0"/>
        <v>15.5</v>
      </c>
      <c r="F10" t="s">
        <v>34</v>
      </c>
    </row>
    <row r="11" spans="1:6" x14ac:dyDescent="0.2">
      <c r="A11" s="1">
        <v>3757</v>
      </c>
      <c r="B11">
        <v>2</v>
      </c>
      <c r="C11">
        <v>1.5</v>
      </c>
      <c r="D11">
        <v>5</v>
      </c>
      <c r="E11">
        <f t="shared" si="0"/>
        <v>8.5</v>
      </c>
      <c r="F11" t="s">
        <v>35</v>
      </c>
    </row>
    <row r="12" spans="1:6" x14ac:dyDescent="0.2">
      <c r="A12" s="1">
        <v>4037</v>
      </c>
      <c r="B12">
        <v>3.5</v>
      </c>
      <c r="C12">
        <v>2</v>
      </c>
      <c r="D12">
        <v>3</v>
      </c>
      <c r="E12">
        <f t="shared" si="0"/>
        <v>8.5</v>
      </c>
      <c r="F12" t="s">
        <v>36</v>
      </c>
    </row>
    <row r="13" spans="1:6" x14ac:dyDescent="0.2">
      <c r="A13" s="1">
        <v>4234</v>
      </c>
      <c r="B13">
        <v>7</v>
      </c>
      <c r="C13">
        <v>2</v>
      </c>
      <c r="D13">
        <v>5</v>
      </c>
      <c r="E13">
        <f t="shared" si="0"/>
        <v>14</v>
      </c>
      <c r="F13" t="s">
        <v>37</v>
      </c>
    </row>
    <row r="14" spans="1:6" x14ac:dyDescent="0.2">
      <c r="A14" s="1">
        <v>4239</v>
      </c>
      <c r="B14">
        <v>8.5</v>
      </c>
      <c r="C14">
        <v>1</v>
      </c>
      <c r="D14">
        <v>5</v>
      </c>
      <c r="E14">
        <f t="shared" si="0"/>
        <v>14.5</v>
      </c>
      <c r="F14" t="s">
        <v>38</v>
      </c>
    </row>
    <row r="15" spans="1:6" x14ac:dyDescent="0.2">
      <c r="A15" s="1">
        <v>4606</v>
      </c>
      <c r="B15">
        <v>2.5</v>
      </c>
      <c r="C15">
        <v>2.5</v>
      </c>
      <c r="D15">
        <v>0</v>
      </c>
      <c r="E15">
        <f t="shared" si="0"/>
        <v>5</v>
      </c>
      <c r="F15" t="s">
        <v>39</v>
      </c>
    </row>
    <row r="16" spans="1:6" x14ac:dyDescent="0.2">
      <c r="A16" s="1">
        <v>5010</v>
      </c>
      <c r="B16">
        <v>7</v>
      </c>
      <c r="C16">
        <v>4</v>
      </c>
      <c r="D16">
        <v>2</v>
      </c>
      <c r="E16">
        <f t="shared" si="0"/>
        <v>13</v>
      </c>
      <c r="F16" t="s">
        <v>40</v>
      </c>
    </row>
    <row r="17" spans="1:6" x14ac:dyDescent="0.2">
      <c r="A17" s="1">
        <v>6519</v>
      </c>
      <c r="B17">
        <v>2.5</v>
      </c>
      <c r="C17">
        <v>1</v>
      </c>
      <c r="D17">
        <v>5</v>
      </c>
      <c r="E17">
        <f t="shared" si="0"/>
        <v>8.5</v>
      </c>
      <c r="F17" t="s">
        <v>41</v>
      </c>
    </row>
    <row r="18" spans="1:6" x14ac:dyDescent="0.2">
      <c r="A18" s="1">
        <v>6571</v>
      </c>
      <c r="B18">
        <v>4.5</v>
      </c>
      <c r="C18">
        <v>5</v>
      </c>
      <c r="D18">
        <v>5</v>
      </c>
      <c r="E18">
        <f t="shared" si="0"/>
        <v>14.5</v>
      </c>
      <c r="F18" t="s">
        <v>42</v>
      </c>
    </row>
    <row r="19" spans="1:6" x14ac:dyDescent="0.2">
      <c r="A19" s="1">
        <v>6785</v>
      </c>
      <c r="B19">
        <v>1</v>
      </c>
      <c r="C19">
        <v>0.5</v>
      </c>
      <c r="D19" s="6">
        <v>0</v>
      </c>
      <c r="E19">
        <f t="shared" si="0"/>
        <v>1.5</v>
      </c>
      <c r="F19" t="s">
        <v>43</v>
      </c>
    </row>
    <row r="20" spans="1:6" x14ac:dyDescent="0.2">
      <c r="A20" s="1">
        <v>7395</v>
      </c>
      <c r="B20">
        <v>2.5</v>
      </c>
      <c r="C20">
        <v>0.5</v>
      </c>
      <c r="D20">
        <v>1</v>
      </c>
      <c r="E20">
        <f t="shared" si="0"/>
        <v>4</v>
      </c>
      <c r="F20" t="s">
        <v>44</v>
      </c>
    </row>
    <row r="21" spans="1:6" x14ac:dyDescent="0.2">
      <c r="A21" s="1">
        <v>7416</v>
      </c>
      <c r="B21">
        <v>4</v>
      </c>
      <c r="C21">
        <v>1.5</v>
      </c>
      <c r="D21">
        <v>4</v>
      </c>
      <c r="E21">
        <f t="shared" si="0"/>
        <v>9.5</v>
      </c>
      <c r="F21" t="s">
        <v>45</v>
      </c>
    </row>
    <row r="22" spans="1:6" x14ac:dyDescent="0.2">
      <c r="A22" s="1">
        <v>7531</v>
      </c>
      <c r="B22">
        <v>6</v>
      </c>
      <c r="C22">
        <v>3</v>
      </c>
      <c r="D22">
        <v>5</v>
      </c>
      <c r="E22">
        <f t="shared" si="0"/>
        <v>14</v>
      </c>
      <c r="F22" t="s">
        <v>46</v>
      </c>
    </row>
    <row r="23" spans="1:6" x14ac:dyDescent="0.2">
      <c r="A23" s="1">
        <v>8236</v>
      </c>
      <c r="B23">
        <v>4</v>
      </c>
      <c r="C23">
        <v>4</v>
      </c>
      <c r="D23">
        <v>1</v>
      </c>
      <c r="E23">
        <f t="shared" si="0"/>
        <v>9</v>
      </c>
      <c r="F23" t="s">
        <v>47</v>
      </c>
    </row>
    <row r="24" spans="1:6" x14ac:dyDescent="0.2">
      <c r="A24" s="1">
        <v>8868</v>
      </c>
      <c r="B24">
        <v>8.5</v>
      </c>
      <c r="C24">
        <v>3.5</v>
      </c>
      <c r="D24">
        <v>5</v>
      </c>
      <c r="E24">
        <f t="shared" si="0"/>
        <v>17</v>
      </c>
      <c r="F24" t="s">
        <v>48</v>
      </c>
    </row>
    <row r="25" spans="1:6" x14ac:dyDescent="0.2">
      <c r="A25" s="1">
        <v>9113</v>
      </c>
      <c r="B25">
        <v>4.5</v>
      </c>
      <c r="C25">
        <v>2</v>
      </c>
      <c r="D25">
        <v>1</v>
      </c>
      <c r="E25">
        <f t="shared" si="0"/>
        <v>7.5</v>
      </c>
      <c r="F25" t="s">
        <v>49</v>
      </c>
    </row>
    <row r="26" spans="1:6" x14ac:dyDescent="0.2">
      <c r="A26" s="1">
        <v>9194</v>
      </c>
      <c r="B26">
        <v>4.5</v>
      </c>
      <c r="C26">
        <v>2</v>
      </c>
      <c r="D26">
        <v>5</v>
      </c>
      <c r="E26">
        <f t="shared" si="0"/>
        <v>11.5</v>
      </c>
      <c r="F26" t="s">
        <v>50</v>
      </c>
    </row>
    <row r="27" spans="1:6" x14ac:dyDescent="0.2">
      <c r="A27" s="1">
        <v>9561</v>
      </c>
      <c r="B27">
        <v>1.5</v>
      </c>
      <c r="C27">
        <v>4</v>
      </c>
      <c r="D27">
        <v>4</v>
      </c>
      <c r="E27">
        <f t="shared" si="0"/>
        <v>9.5</v>
      </c>
      <c r="F27" t="s">
        <v>51</v>
      </c>
    </row>
    <row r="28" spans="1:6" x14ac:dyDescent="0.2">
      <c r="A28" s="1">
        <v>9582</v>
      </c>
      <c r="B28">
        <v>6.5</v>
      </c>
      <c r="C28">
        <v>2.5</v>
      </c>
      <c r="D28">
        <v>1</v>
      </c>
      <c r="E28">
        <f t="shared" si="0"/>
        <v>10</v>
      </c>
      <c r="F28" t="s">
        <v>52</v>
      </c>
    </row>
    <row r="30" spans="1:6" x14ac:dyDescent="0.2">
      <c r="A30" t="s">
        <v>24</v>
      </c>
      <c r="B30">
        <f>AVERAGE(B4:B28)</f>
        <v>4.72</v>
      </c>
      <c r="C30">
        <f>AVERAGE(C4:C28)</f>
        <v>2.12</v>
      </c>
      <c r="D30">
        <f>AVERAGE(D4:D28)</f>
        <v>2.96</v>
      </c>
      <c r="E30">
        <f>AVERAGE(E4:E28)</f>
        <v>9.8000000000000007</v>
      </c>
    </row>
    <row r="31" spans="1:6" x14ac:dyDescent="0.2">
      <c r="A31" t="s">
        <v>25</v>
      </c>
      <c r="B31">
        <f>STDEV(B4:B28)</f>
        <v>2.3142673426666445</v>
      </c>
      <c r="C31">
        <f>STDEV(C4:C28)</f>
        <v>1.2932517156377563</v>
      </c>
      <c r="D31">
        <f>STDEV(D4:D28)</f>
        <v>2.0305992547357379</v>
      </c>
      <c r="E31" s="4">
        <f>STDEV(E4:E28)</f>
        <v>4.1758232721225168</v>
      </c>
    </row>
    <row r="33" spans="1:5" x14ac:dyDescent="0.2">
      <c r="A33" t="s">
        <v>26</v>
      </c>
      <c r="B33">
        <f>B30-B31</f>
        <v>2.4057326573333553</v>
      </c>
      <c r="C33">
        <f>C30-C31</f>
        <v>0.82674828436224379</v>
      </c>
      <c r="D33">
        <f>D30-D31</f>
        <v>0.92940074526426208</v>
      </c>
      <c r="E33">
        <f>E30-E31</f>
        <v>5.6241767278774839</v>
      </c>
    </row>
    <row r="35" spans="1:5" x14ac:dyDescent="0.2">
      <c r="A35" t="s">
        <v>27</v>
      </c>
      <c r="B35">
        <f>B30+B31</f>
        <v>7.0342673426666442</v>
      </c>
      <c r="C35">
        <f>C30+C31</f>
        <v>3.4132517156377564</v>
      </c>
      <c r="D35">
        <f>D30+D31</f>
        <v>4.9905992547357378</v>
      </c>
      <c r="E35" s="4">
        <f>E30+E31</f>
        <v>13.975823272122518</v>
      </c>
    </row>
  </sheetData>
  <printOptions headings="1" gridLines="1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595-7E7F-A945-92D3-5FAFB54A9D48}">
  <dimension ref="A1:L28"/>
  <sheetViews>
    <sheetView workbookViewId="0">
      <selection activeCell="L4" sqref="L4:L28"/>
    </sheetView>
  </sheetViews>
  <sheetFormatPr baseColWidth="10" defaultRowHeight="16" x14ac:dyDescent="0.2"/>
  <cols>
    <col min="1" max="1" width="7" customWidth="1"/>
    <col min="2" max="2" width="4.1640625" customWidth="1"/>
    <col min="3" max="3" width="3.83203125" customWidth="1"/>
    <col min="4" max="4" width="4.83203125" customWidth="1"/>
    <col min="5" max="5" width="1.1640625" customWidth="1"/>
    <col min="6" max="6" width="7.33203125" customWidth="1"/>
    <col min="7" max="7" width="8.1640625" customWidth="1"/>
    <col min="8" max="8" width="6.33203125" customWidth="1"/>
    <col min="9" max="9" width="2.33203125" customWidth="1"/>
    <col min="10" max="10" width="5" customWidth="1"/>
    <col min="11" max="11" width="6.33203125" customWidth="1"/>
  </cols>
  <sheetData>
    <row r="1" spans="1:12" x14ac:dyDescent="0.2">
      <c r="A1" t="s">
        <v>0</v>
      </c>
      <c r="C1" t="s">
        <v>61</v>
      </c>
      <c r="D1">
        <v>107</v>
      </c>
      <c r="F1" t="s">
        <v>66</v>
      </c>
      <c r="G1" t="s">
        <v>59</v>
      </c>
      <c r="H1" t="s">
        <v>60</v>
      </c>
      <c r="J1" t="s">
        <v>134</v>
      </c>
      <c r="L1" t="s">
        <v>2</v>
      </c>
    </row>
    <row r="2" spans="1:12" x14ac:dyDescent="0.2">
      <c r="A2" t="s">
        <v>58</v>
      </c>
      <c r="C2">
        <v>5</v>
      </c>
      <c r="D2">
        <v>12</v>
      </c>
      <c r="F2">
        <v>2</v>
      </c>
      <c r="G2">
        <v>5</v>
      </c>
      <c r="H2">
        <v>8</v>
      </c>
      <c r="J2">
        <v>8</v>
      </c>
      <c r="K2">
        <f>SUM(C2:J2)</f>
        <v>40</v>
      </c>
    </row>
    <row r="4" spans="1:12" x14ac:dyDescent="0.2">
      <c r="A4" s="1">
        <v>1248</v>
      </c>
      <c r="C4">
        <v>5</v>
      </c>
      <c r="D4">
        <v>7.5</v>
      </c>
      <c r="F4" s="7">
        <v>0</v>
      </c>
      <c r="G4" s="7">
        <v>0</v>
      </c>
      <c r="H4" s="7">
        <v>0</v>
      </c>
      <c r="J4">
        <v>5.5</v>
      </c>
      <c r="K4">
        <f t="shared" ref="K4:K14" si="0">SUM(C4:J4)</f>
        <v>18</v>
      </c>
    </row>
    <row r="5" spans="1:12" x14ac:dyDescent="0.2">
      <c r="A5" s="1">
        <v>1889</v>
      </c>
      <c r="C5">
        <v>4.5</v>
      </c>
      <c r="D5">
        <v>6.5</v>
      </c>
      <c r="F5">
        <v>2</v>
      </c>
      <c r="G5">
        <v>4</v>
      </c>
      <c r="H5">
        <v>8</v>
      </c>
      <c r="J5">
        <v>5</v>
      </c>
      <c r="K5">
        <f t="shared" si="0"/>
        <v>30</v>
      </c>
      <c r="L5" t="s">
        <v>142</v>
      </c>
    </row>
    <row r="6" spans="1:12" x14ac:dyDescent="0.2">
      <c r="A6" s="1">
        <v>2099</v>
      </c>
      <c r="C6">
        <v>4</v>
      </c>
      <c r="D6">
        <v>9.5</v>
      </c>
      <c r="F6">
        <v>2</v>
      </c>
      <c r="G6">
        <v>4.5</v>
      </c>
      <c r="H6">
        <v>6</v>
      </c>
      <c r="J6">
        <v>8</v>
      </c>
      <c r="K6">
        <f t="shared" si="0"/>
        <v>34</v>
      </c>
      <c r="L6" t="s">
        <v>144</v>
      </c>
    </row>
    <row r="7" spans="1:12" x14ac:dyDescent="0.2">
      <c r="A7" s="1">
        <v>2410</v>
      </c>
      <c r="C7">
        <v>4</v>
      </c>
      <c r="D7">
        <v>10</v>
      </c>
      <c r="F7">
        <v>2</v>
      </c>
      <c r="G7">
        <v>4.5</v>
      </c>
      <c r="H7">
        <v>6</v>
      </c>
      <c r="J7">
        <v>6</v>
      </c>
      <c r="K7">
        <f t="shared" si="0"/>
        <v>32.5</v>
      </c>
    </row>
    <row r="8" spans="1:12" x14ac:dyDescent="0.2">
      <c r="A8" s="1">
        <v>2809</v>
      </c>
      <c r="C8">
        <v>2</v>
      </c>
      <c r="D8">
        <v>10</v>
      </c>
      <c r="F8" s="7">
        <v>0</v>
      </c>
      <c r="G8" s="7">
        <v>0</v>
      </c>
      <c r="H8" s="7">
        <v>0</v>
      </c>
      <c r="J8">
        <v>1</v>
      </c>
      <c r="K8">
        <f t="shared" si="0"/>
        <v>13</v>
      </c>
      <c r="L8" t="s">
        <v>145</v>
      </c>
    </row>
    <row r="9" spans="1:12" x14ac:dyDescent="0.2">
      <c r="A9" s="1">
        <v>3071</v>
      </c>
      <c r="C9">
        <v>3</v>
      </c>
      <c r="D9">
        <v>5</v>
      </c>
      <c r="F9">
        <v>1</v>
      </c>
      <c r="G9">
        <v>4</v>
      </c>
      <c r="H9">
        <v>3.5</v>
      </c>
      <c r="J9">
        <v>4.5</v>
      </c>
      <c r="K9">
        <f t="shared" si="0"/>
        <v>21</v>
      </c>
    </row>
    <row r="10" spans="1:12" x14ac:dyDescent="0.2">
      <c r="A10" s="1">
        <v>3470</v>
      </c>
      <c r="C10">
        <v>3.5</v>
      </c>
      <c r="D10">
        <v>9.5</v>
      </c>
      <c r="F10">
        <v>2</v>
      </c>
      <c r="G10">
        <v>5</v>
      </c>
      <c r="H10" s="6">
        <v>0</v>
      </c>
      <c r="J10">
        <v>5</v>
      </c>
      <c r="K10">
        <f t="shared" si="0"/>
        <v>25</v>
      </c>
    </row>
    <row r="11" spans="1:12" x14ac:dyDescent="0.2">
      <c r="A11" s="1">
        <v>3757</v>
      </c>
      <c r="C11">
        <v>2</v>
      </c>
      <c r="D11">
        <v>2</v>
      </c>
      <c r="F11">
        <v>1</v>
      </c>
      <c r="G11">
        <v>1</v>
      </c>
      <c r="H11" s="6">
        <v>0</v>
      </c>
      <c r="J11">
        <v>1.5</v>
      </c>
      <c r="K11">
        <f t="shared" si="0"/>
        <v>7.5</v>
      </c>
      <c r="L11" t="s">
        <v>135</v>
      </c>
    </row>
    <row r="12" spans="1:12" x14ac:dyDescent="0.2">
      <c r="A12" s="1">
        <v>4037</v>
      </c>
      <c r="C12">
        <v>2</v>
      </c>
      <c r="D12">
        <v>7</v>
      </c>
      <c r="F12">
        <v>2</v>
      </c>
      <c r="G12">
        <v>4</v>
      </c>
      <c r="H12">
        <v>7</v>
      </c>
      <c r="J12" s="6">
        <v>0</v>
      </c>
      <c r="K12">
        <f t="shared" si="0"/>
        <v>22</v>
      </c>
    </row>
    <row r="13" spans="1:12" x14ac:dyDescent="0.2">
      <c r="A13" s="1">
        <v>4234</v>
      </c>
      <c r="C13">
        <v>3</v>
      </c>
      <c r="D13">
        <v>5</v>
      </c>
      <c r="F13">
        <v>2</v>
      </c>
      <c r="G13">
        <v>4</v>
      </c>
      <c r="H13">
        <v>2</v>
      </c>
      <c r="J13">
        <v>5</v>
      </c>
      <c r="K13">
        <f t="shared" si="0"/>
        <v>21</v>
      </c>
      <c r="L13" t="s">
        <v>136</v>
      </c>
    </row>
    <row r="14" spans="1:12" x14ac:dyDescent="0.2">
      <c r="A14" s="1">
        <v>4239</v>
      </c>
      <c r="C14">
        <v>4</v>
      </c>
      <c r="D14">
        <v>8</v>
      </c>
      <c r="F14">
        <v>2</v>
      </c>
      <c r="G14">
        <v>4</v>
      </c>
      <c r="H14">
        <v>8</v>
      </c>
      <c r="J14">
        <v>4</v>
      </c>
      <c r="K14">
        <f t="shared" si="0"/>
        <v>30</v>
      </c>
      <c r="L14" t="s">
        <v>137</v>
      </c>
    </row>
    <row r="15" spans="1:12" x14ac:dyDescent="0.2">
      <c r="A15" s="1">
        <v>4606</v>
      </c>
      <c r="D15">
        <v>4</v>
      </c>
      <c r="F15">
        <v>1.5</v>
      </c>
      <c r="G15">
        <v>0.5</v>
      </c>
      <c r="H15" s="6">
        <v>0</v>
      </c>
      <c r="J15">
        <v>4</v>
      </c>
      <c r="L15" t="s">
        <v>138</v>
      </c>
    </row>
    <row r="16" spans="1:12" x14ac:dyDescent="0.2">
      <c r="A16" s="8">
        <v>5010</v>
      </c>
      <c r="C16">
        <v>3</v>
      </c>
      <c r="D16">
        <v>7</v>
      </c>
      <c r="F16">
        <v>2</v>
      </c>
      <c r="G16">
        <v>5</v>
      </c>
      <c r="H16">
        <v>2</v>
      </c>
      <c r="J16">
        <v>2.5</v>
      </c>
      <c r="K16">
        <f t="shared" ref="K16:K28" si="1">SUM(C16:H16)</f>
        <v>19</v>
      </c>
      <c r="L16" t="s">
        <v>70</v>
      </c>
    </row>
    <row r="17" spans="1:12" x14ac:dyDescent="0.2">
      <c r="A17" s="1">
        <v>6519</v>
      </c>
      <c r="C17">
        <v>1</v>
      </c>
      <c r="D17">
        <v>3.5</v>
      </c>
      <c r="F17">
        <v>0</v>
      </c>
      <c r="G17">
        <v>1.5</v>
      </c>
      <c r="H17">
        <v>1.5</v>
      </c>
      <c r="J17">
        <v>5.5</v>
      </c>
      <c r="K17">
        <f t="shared" si="1"/>
        <v>7.5</v>
      </c>
      <c r="L17" t="s">
        <v>71</v>
      </c>
    </row>
    <row r="18" spans="1:12" x14ac:dyDescent="0.2">
      <c r="A18" s="1">
        <v>6571</v>
      </c>
      <c r="C18">
        <v>3.5</v>
      </c>
      <c r="D18">
        <v>9</v>
      </c>
      <c r="F18">
        <v>1</v>
      </c>
      <c r="G18">
        <v>2.5</v>
      </c>
      <c r="H18">
        <v>2</v>
      </c>
      <c r="J18">
        <v>5.5</v>
      </c>
      <c r="K18">
        <f t="shared" si="1"/>
        <v>18</v>
      </c>
    </row>
    <row r="19" spans="1:12" x14ac:dyDescent="0.2">
      <c r="A19" s="1">
        <v>6785</v>
      </c>
      <c r="C19">
        <v>3.5</v>
      </c>
      <c r="D19">
        <v>8</v>
      </c>
      <c r="F19" s="7">
        <v>0</v>
      </c>
      <c r="G19" s="7">
        <v>0</v>
      </c>
      <c r="H19" s="7">
        <v>0</v>
      </c>
      <c r="I19" s="3"/>
      <c r="J19">
        <v>0.5</v>
      </c>
      <c r="K19">
        <f t="shared" si="1"/>
        <v>11.5</v>
      </c>
      <c r="L19" t="s">
        <v>139</v>
      </c>
    </row>
    <row r="20" spans="1:12" x14ac:dyDescent="0.2">
      <c r="A20" s="1">
        <v>7395</v>
      </c>
      <c r="C20">
        <v>0.5</v>
      </c>
      <c r="D20">
        <v>1</v>
      </c>
      <c r="F20">
        <v>0</v>
      </c>
      <c r="G20">
        <v>0.25</v>
      </c>
      <c r="H20">
        <v>0.25</v>
      </c>
      <c r="J20">
        <v>2.5</v>
      </c>
      <c r="K20">
        <f t="shared" si="1"/>
        <v>2</v>
      </c>
      <c r="L20" t="s">
        <v>72</v>
      </c>
    </row>
    <row r="21" spans="1:12" x14ac:dyDescent="0.2">
      <c r="A21" s="1">
        <v>7416</v>
      </c>
      <c r="C21">
        <v>2.5</v>
      </c>
      <c r="D21">
        <v>6.5</v>
      </c>
      <c r="F21" s="7">
        <v>0</v>
      </c>
      <c r="G21" s="7">
        <v>0</v>
      </c>
      <c r="H21" s="7">
        <v>0</v>
      </c>
      <c r="I21" s="3"/>
      <c r="J21">
        <v>6.5</v>
      </c>
      <c r="K21">
        <f t="shared" si="1"/>
        <v>9</v>
      </c>
      <c r="L21" t="s">
        <v>73</v>
      </c>
    </row>
    <row r="22" spans="1:12" x14ac:dyDescent="0.2">
      <c r="A22" s="1">
        <v>7531</v>
      </c>
      <c r="C22">
        <v>3.5</v>
      </c>
      <c r="D22">
        <v>11</v>
      </c>
      <c r="F22" s="7">
        <v>0</v>
      </c>
      <c r="G22" s="7">
        <v>0</v>
      </c>
      <c r="H22" s="7">
        <v>0</v>
      </c>
      <c r="I22" s="3"/>
      <c r="J22">
        <v>4.5</v>
      </c>
      <c r="K22">
        <f t="shared" si="1"/>
        <v>14.5</v>
      </c>
    </row>
    <row r="23" spans="1:12" x14ac:dyDescent="0.2">
      <c r="A23" s="1">
        <v>8236</v>
      </c>
      <c r="C23">
        <v>1.5</v>
      </c>
      <c r="D23">
        <v>0</v>
      </c>
      <c r="G23">
        <v>0.5</v>
      </c>
      <c r="H23">
        <v>0.5</v>
      </c>
      <c r="J23">
        <v>1</v>
      </c>
      <c r="K23">
        <f t="shared" si="1"/>
        <v>2.5</v>
      </c>
      <c r="L23" t="s">
        <v>74</v>
      </c>
    </row>
    <row r="24" spans="1:12" x14ac:dyDescent="0.2">
      <c r="A24" s="1">
        <v>8868</v>
      </c>
      <c r="C24">
        <v>4</v>
      </c>
      <c r="D24">
        <v>7.5</v>
      </c>
      <c r="F24">
        <v>1</v>
      </c>
      <c r="G24">
        <v>5</v>
      </c>
      <c r="H24">
        <v>8</v>
      </c>
      <c r="J24">
        <v>2</v>
      </c>
      <c r="K24">
        <f t="shared" si="1"/>
        <v>25.5</v>
      </c>
    </row>
    <row r="25" spans="1:12" x14ac:dyDescent="0.2">
      <c r="A25" s="1">
        <v>9113</v>
      </c>
      <c r="C25">
        <v>2.5</v>
      </c>
      <c r="D25">
        <v>5.5</v>
      </c>
      <c r="F25">
        <v>0</v>
      </c>
      <c r="G25">
        <v>2.5</v>
      </c>
      <c r="H25">
        <v>4</v>
      </c>
      <c r="J25">
        <v>5.5</v>
      </c>
      <c r="K25">
        <f t="shared" si="1"/>
        <v>14.5</v>
      </c>
    </row>
    <row r="26" spans="1:12" x14ac:dyDescent="0.2">
      <c r="A26" s="1">
        <v>9194</v>
      </c>
      <c r="C26">
        <v>2</v>
      </c>
      <c r="D26">
        <v>2.5</v>
      </c>
      <c r="F26">
        <v>2</v>
      </c>
      <c r="G26">
        <v>1</v>
      </c>
      <c r="H26" s="7">
        <v>0</v>
      </c>
      <c r="I26" s="3"/>
      <c r="J26">
        <v>2</v>
      </c>
      <c r="K26">
        <f t="shared" si="1"/>
        <v>7.5</v>
      </c>
      <c r="L26" t="s">
        <v>67</v>
      </c>
    </row>
    <row r="27" spans="1:12" x14ac:dyDescent="0.2">
      <c r="A27" s="1">
        <v>9561</v>
      </c>
      <c r="C27">
        <v>3</v>
      </c>
      <c r="D27">
        <v>4.5</v>
      </c>
      <c r="F27" s="7">
        <v>0</v>
      </c>
      <c r="G27" s="7">
        <v>0</v>
      </c>
      <c r="H27" s="7">
        <v>0</v>
      </c>
      <c r="I27" s="3"/>
      <c r="J27" s="7">
        <v>0</v>
      </c>
      <c r="K27">
        <f t="shared" si="1"/>
        <v>7.5</v>
      </c>
      <c r="L27" t="s">
        <v>65</v>
      </c>
    </row>
    <row r="28" spans="1:12" x14ac:dyDescent="0.2">
      <c r="A28" s="1">
        <v>9582</v>
      </c>
      <c r="C28">
        <v>4</v>
      </c>
      <c r="D28">
        <v>11</v>
      </c>
      <c r="F28">
        <v>2</v>
      </c>
      <c r="G28">
        <v>5</v>
      </c>
      <c r="H28">
        <v>8</v>
      </c>
      <c r="J28">
        <v>3.5</v>
      </c>
      <c r="K28">
        <f t="shared" si="1"/>
        <v>30</v>
      </c>
      <c r="L28" t="s">
        <v>69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F831-3E6B-FE4D-A7CE-A6A91A8BAC92}">
  <dimension ref="A1:F35"/>
  <sheetViews>
    <sheetView workbookViewId="0">
      <selection activeCell="E2" sqref="E2:F28"/>
    </sheetView>
  </sheetViews>
  <sheetFormatPr baseColWidth="10" defaultRowHeight="16" x14ac:dyDescent="0.2"/>
  <cols>
    <col min="1" max="1" width="6.83203125" customWidth="1"/>
    <col min="2" max="2" width="2.1640625" customWidth="1"/>
    <col min="3" max="3" width="4.83203125" customWidth="1"/>
    <col min="4" max="4" width="5" customWidth="1"/>
    <col min="5" max="5" width="8.33203125" customWidth="1"/>
  </cols>
  <sheetData>
    <row r="1" spans="1:6" x14ac:dyDescent="0.2">
      <c r="C1" t="s">
        <v>75</v>
      </c>
      <c r="D1" t="s">
        <v>143</v>
      </c>
    </row>
    <row r="2" spans="1:6" x14ac:dyDescent="0.2">
      <c r="A2" t="s">
        <v>58</v>
      </c>
      <c r="C2">
        <v>9</v>
      </c>
      <c r="D2">
        <v>7</v>
      </c>
      <c r="E2">
        <f>SUM(C2:D2)</f>
        <v>16</v>
      </c>
    </row>
    <row r="4" spans="1:6" x14ac:dyDescent="0.2">
      <c r="A4" s="1">
        <v>1248</v>
      </c>
      <c r="C4">
        <v>4.5</v>
      </c>
      <c r="D4">
        <v>0</v>
      </c>
      <c r="E4">
        <f t="shared" ref="E4:E28" si="0">SUM(C4:D4)</f>
        <v>4.5</v>
      </c>
      <c r="F4" t="s">
        <v>141</v>
      </c>
    </row>
    <row r="5" spans="1:6" x14ac:dyDescent="0.2">
      <c r="A5" s="1">
        <v>1889</v>
      </c>
      <c r="C5">
        <v>8.5</v>
      </c>
      <c r="D5">
        <v>4</v>
      </c>
      <c r="E5">
        <f t="shared" si="0"/>
        <v>12.5</v>
      </c>
    </row>
    <row r="6" spans="1:6" x14ac:dyDescent="0.2">
      <c r="A6" s="1">
        <v>2099</v>
      </c>
      <c r="C6">
        <v>5</v>
      </c>
      <c r="D6">
        <v>3</v>
      </c>
      <c r="E6">
        <f t="shared" si="0"/>
        <v>8</v>
      </c>
    </row>
    <row r="7" spans="1:6" x14ac:dyDescent="0.2">
      <c r="A7" s="1">
        <v>2410</v>
      </c>
      <c r="C7">
        <v>9</v>
      </c>
      <c r="D7">
        <v>5.5</v>
      </c>
      <c r="E7">
        <f t="shared" si="0"/>
        <v>14.5</v>
      </c>
    </row>
    <row r="8" spans="1:6" x14ac:dyDescent="0.2">
      <c r="A8" s="1">
        <v>2809</v>
      </c>
      <c r="C8">
        <v>1.5</v>
      </c>
      <c r="D8">
        <v>0</v>
      </c>
      <c r="E8">
        <f t="shared" si="0"/>
        <v>1.5</v>
      </c>
      <c r="F8" t="s">
        <v>146</v>
      </c>
    </row>
    <row r="9" spans="1:6" x14ac:dyDescent="0.2">
      <c r="A9" s="1">
        <v>3071</v>
      </c>
      <c r="C9">
        <v>6</v>
      </c>
      <c r="D9">
        <v>4.5</v>
      </c>
      <c r="E9">
        <f t="shared" si="0"/>
        <v>10.5</v>
      </c>
      <c r="F9" t="s">
        <v>147</v>
      </c>
    </row>
    <row r="10" spans="1:6" x14ac:dyDescent="0.2">
      <c r="A10" s="1">
        <v>3470</v>
      </c>
      <c r="C10">
        <v>5</v>
      </c>
      <c r="D10">
        <v>7</v>
      </c>
      <c r="E10">
        <f t="shared" si="0"/>
        <v>12</v>
      </c>
    </row>
    <row r="11" spans="1:6" x14ac:dyDescent="0.2">
      <c r="A11" s="1">
        <v>3757</v>
      </c>
      <c r="C11">
        <v>1</v>
      </c>
      <c r="E11">
        <f t="shared" si="0"/>
        <v>1</v>
      </c>
      <c r="F11" t="s">
        <v>148</v>
      </c>
    </row>
    <row r="12" spans="1:6" x14ac:dyDescent="0.2">
      <c r="A12" s="1">
        <v>4037</v>
      </c>
      <c r="C12">
        <v>5</v>
      </c>
      <c r="D12">
        <v>3</v>
      </c>
      <c r="E12">
        <f t="shared" si="0"/>
        <v>8</v>
      </c>
    </row>
    <row r="13" spans="1:6" x14ac:dyDescent="0.2">
      <c r="A13" s="1">
        <v>4234</v>
      </c>
      <c r="C13">
        <v>5.5</v>
      </c>
      <c r="D13">
        <v>1.5</v>
      </c>
      <c r="E13">
        <f t="shared" si="0"/>
        <v>7</v>
      </c>
    </row>
    <row r="14" spans="1:6" x14ac:dyDescent="0.2">
      <c r="A14" s="1">
        <v>4239</v>
      </c>
      <c r="C14">
        <v>3</v>
      </c>
      <c r="D14">
        <v>6</v>
      </c>
      <c r="E14">
        <f t="shared" si="0"/>
        <v>9</v>
      </c>
    </row>
    <row r="15" spans="1:6" x14ac:dyDescent="0.2">
      <c r="A15" s="1">
        <v>4606</v>
      </c>
      <c r="C15">
        <v>3</v>
      </c>
      <c r="D15">
        <v>1.5</v>
      </c>
      <c r="E15">
        <f t="shared" si="0"/>
        <v>4.5</v>
      </c>
    </row>
    <row r="16" spans="1:6" x14ac:dyDescent="0.2">
      <c r="A16" s="1">
        <v>5010</v>
      </c>
      <c r="C16">
        <v>4.5</v>
      </c>
      <c r="D16">
        <v>5.5</v>
      </c>
      <c r="E16">
        <f t="shared" si="0"/>
        <v>10</v>
      </c>
    </row>
    <row r="17" spans="1:6" x14ac:dyDescent="0.2">
      <c r="A17" s="1">
        <v>6519</v>
      </c>
      <c r="C17">
        <v>5</v>
      </c>
      <c r="D17">
        <v>0</v>
      </c>
      <c r="E17">
        <f t="shared" si="0"/>
        <v>5</v>
      </c>
    </row>
    <row r="18" spans="1:6" x14ac:dyDescent="0.2">
      <c r="A18" s="1">
        <v>6571</v>
      </c>
      <c r="C18">
        <v>7.5</v>
      </c>
      <c r="D18">
        <v>0</v>
      </c>
      <c r="E18">
        <f t="shared" si="0"/>
        <v>7.5</v>
      </c>
    </row>
    <row r="19" spans="1:6" x14ac:dyDescent="0.2">
      <c r="A19" s="1">
        <v>6785</v>
      </c>
      <c r="C19">
        <v>3</v>
      </c>
      <c r="D19">
        <v>0</v>
      </c>
      <c r="E19">
        <f t="shared" si="0"/>
        <v>3</v>
      </c>
    </row>
    <row r="20" spans="1:6" x14ac:dyDescent="0.2">
      <c r="A20" s="1">
        <v>7395</v>
      </c>
      <c r="C20">
        <v>3</v>
      </c>
      <c r="D20">
        <v>0</v>
      </c>
      <c r="E20">
        <f t="shared" si="0"/>
        <v>3</v>
      </c>
    </row>
    <row r="21" spans="1:6" x14ac:dyDescent="0.2">
      <c r="A21" s="1">
        <v>7416</v>
      </c>
      <c r="C21">
        <v>4</v>
      </c>
      <c r="D21">
        <v>0</v>
      </c>
      <c r="E21">
        <f t="shared" si="0"/>
        <v>4</v>
      </c>
    </row>
    <row r="22" spans="1:6" x14ac:dyDescent="0.2">
      <c r="A22" s="1">
        <v>7531</v>
      </c>
      <c r="C22">
        <v>10</v>
      </c>
      <c r="D22">
        <v>5</v>
      </c>
      <c r="E22">
        <f t="shared" si="0"/>
        <v>15</v>
      </c>
    </row>
    <row r="23" spans="1:6" x14ac:dyDescent="0.2">
      <c r="A23" s="1">
        <v>8236</v>
      </c>
      <c r="C23">
        <v>0.5</v>
      </c>
      <c r="D23">
        <v>1</v>
      </c>
      <c r="E23">
        <f t="shared" si="0"/>
        <v>1.5</v>
      </c>
      <c r="F23" t="s">
        <v>140</v>
      </c>
    </row>
    <row r="24" spans="1:6" x14ac:dyDescent="0.2">
      <c r="A24" s="1">
        <v>8868</v>
      </c>
      <c r="C24">
        <v>2</v>
      </c>
      <c r="D24">
        <v>1.5</v>
      </c>
      <c r="E24">
        <f t="shared" si="0"/>
        <v>3.5</v>
      </c>
    </row>
    <row r="25" spans="1:6" x14ac:dyDescent="0.2">
      <c r="A25" s="1">
        <v>9113</v>
      </c>
      <c r="C25">
        <v>3</v>
      </c>
      <c r="D25">
        <v>4.5</v>
      </c>
      <c r="E25">
        <f t="shared" si="0"/>
        <v>7.5</v>
      </c>
    </row>
    <row r="26" spans="1:6" x14ac:dyDescent="0.2">
      <c r="A26" s="1">
        <v>9194</v>
      </c>
      <c r="C26">
        <v>3</v>
      </c>
      <c r="D26">
        <v>0</v>
      </c>
      <c r="E26">
        <f t="shared" si="0"/>
        <v>3</v>
      </c>
    </row>
    <row r="27" spans="1:6" x14ac:dyDescent="0.2">
      <c r="A27" s="1">
        <v>9561</v>
      </c>
      <c r="C27">
        <v>0.5</v>
      </c>
      <c r="D27">
        <v>0</v>
      </c>
      <c r="E27">
        <f t="shared" si="0"/>
        <v>0.5</v>
      </c>
    </row>
    <row r="28" spans="1:6" x14ac:dyDescent="0.2">
      <c r="A28" s="1">
        <v>9582</v>
      </c>
      <c r="C28">
        <v>2.5</v>
      </c>
      <c r="D28">
        <v>5.5</v>
      </c>
      <c r="E28">
        <f t="shared" si="0"/>
        <v>8</v>
      </c>
    </row>
    <row r="30" spans="1:6" x14ac:dyDescent="0.2">
      <c r="A30" t="s">
        <v>24</v>
      </c>
    </row>
    <row r="31" spans="1:6" x14ac:dyDescent="0.2">
      <c r="A31" t="s">
        <v>25</v>
      </c>
    </row>
    <row r="33" spans="1:1" x14ac:dyDescent="0.2">
      <c r="A33" t="s">
        <v>26</v>
      </c>
    </row>
    <row r="35" spans="1:1" x14ac:dyDescent="0.2">
      <c r="A35" t="s">
        <v>27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D8A5-4494-494F-9477-72400E15D88D}">
  <dimension ref="A1:G28"/>
  <sheetViews>
    <sheetView workbookViewId="0">
      <selection activeCell="F2" sqref="F2:G28"/>
    </sheetView>
  </sheetViews>
  <sheetFormatPr baseColWidth="10" defaultRowHeight="16" x14ac:dyDescent="0.2"/>
  <cols>
    <col min="1" max="1" width="5.5" customWidth="1"/>
    <col min="2" max="2" width="2.6640625" customWidth="1"/>
    <col min="3" max="3" width="8.33203125" customWidth="1"/>
    <col min="4" max="4" width="8.83203125" customWidth="1"/>
  </cols>
  <sheetData>
    <row r="1" spans="1:7" x14ac:dyDescent="0.2">
      <c r="A1" t="s">
        <v>0</v>
      </c>
      <c r="C1" t="s">
        <v>62</v>
      </c>
      <c r="D1" t="s">
        <v>63</v>
      </c>
      <c r="E1" t="s">
        <v>64</v>
      </c>
      <c r="F1" t="s">
        <v>116</v>
      </c>
      <c r="G1" t="s">
        <v>2</v>
      </c>
    </row>
    <row r="2" spans="1:7" x14ac:dyDescent="0.2">
      <c r="A2" t="s">
        <v>58</v>
      </c>
      <c r="C2">
        <v>6</v>
      </c>
      <c r="D2">
        <v>7</v>
      </c>
      <c r="E2">
        <v>3</v>
      </c>
      <c r="F2">
        <f>SUM(C2:E2)</f>
        <v>16</v>
      </c>
    </row>
    <row r="4" spans="1:7" x14ac:dyDescent="0.2">
      <c r="A4" s="1">
        <v>1248</v>
      </c>
      <c r="C4">
        <v>3.5</v>
      </c>
      <c r="D4">
        <v>3.5</v>
      </c>
      <c r="E4">
        <v>3</v>
      </c>
      <c r="F4">
        <f t="shared" ref="F4:F28" si="0">SUM(C4:E4)</f>
        <v>10</v>
      </c>
    </row>
    <row r="5" spans="1:7" x14ac:dyDescent="0.2">
      <c r="A5" s="1">
        <v>1889</v>
      </c>
      <c r="C5" s="12">
        <v>3</v>
      </c>
      <c r="D5">
        <v>5</v>
      </c>
      <c r="E5" s="6">
        <v>0</v>
      </c>
      <c r="F5">
        <f t="shared" si="0"/>
        <v>8</v>
      </c>
      <c r="G5" t="s">
        <v>129</v>
      </c>
    </row>
    <row r="6" spans="1:7" x14ac:dyDescent="0.2">
      <c r="A6" s="1">
        <v>2099</v>
      </c>
      <c r="C6">
        <v>0.5</v>
      </c>
      <c r="D6">
        <v>2.5</v>
      </c>
      <c r="E6">
        <v>0</v>
      </c>
      <c r="F6">
        <f t="shared" si="0"/>
        <v>3</v>
      </c>
    </row>
    <row r="7" spans="1:7" x14ac:dyDescent="0.2">
      <c r="A7" s="1">
        <v>2410</v>
      </c>
      <c r="C7" s="12">
        <v>3</v>
      </c>
      <c r="D7">
        <v>6</v>
      </c>
      <c r="E7">
        <v>3</v>
      </c>
      <c r="F7">
        <f t="shared" si="0"/>
        <v>12</v>
      </c>
      <c r="G7" t="s">
        <v>130</v>
      </c>
    </row>
    <row r="8" spans="1:7" x14ac:dyDescent="0.2">
      <c r="A8" s="1">
        <v>2809</v>
      </c>
      <c r="C8">
        <v>4.5</v>
      </c>
      <c r="D8">
        <v>2.5</v>
      </c>
      <c r="E8" s="6">
        <v>0</v>
      </c>
      <c r="F8">
        <f t="shared" si="0"/>
        <v>7</v>
      </c>
      <c r="G8" t="s">
        <v>131</v>
      </c>
    </row>
    <row r="9" spans="1:7" x14ac:dyDescent="0.2">
      <c r="A9" s="1">
        <v>3071</v>
      </c>
      <c r="C9" s="6">
        <v>0</v>
      </c>
      <c r="D9">
        <v>3.5</v>
      </c>
      <c r="E9">
        <v>0</v>
      </c>
      <c r="F9">
        <f t="shared" si="0"/>
        <v>3.5</v>
      </c>
    </row>
    <row r="10" spans="1:7" x14ac:dyDescent="0.2">
      <c r="A10" s="1">
        <v>3470</v>
      </c>
      <c r="C10">
        <v>0.5</v>
      </c>
      <c r="D10">
        <v>5</v>
      </c>
      <c r="E10">
        <v>3</v>
      </c>
      <c r="F10">
        <f t="shared" si="0"/>
        <v>8.5</v>
      </c>
    </row>
    <row r="11" spans="1:7" x14ac:dyDescent="0.2">
      <c r="A11" s="1">
        <v>3757</v>
      </c>
      <c r="C11" s="12">
        <v>4</v>
      </c>
      <c r="D11">
        <v>2</v>
      </c>
      <c r="E11" s="6">
        <v>0</v>
      </c>
      <c r="F11">
        <f t="shared" si="0"/>
        <v>6</v>
      </c>
      <c r="G11" t="s">
        <v>117</v>
      </c>
    </row>
    <row r="12" spans="1:7" x14ac:dyDescent="0.2">
      <c r="A12" s="1">
        <v>4037</v>
      </c>
      <c r="C12">
        <v>1</v>
      </c>
      <c r="D12">
        <v>0.5</v>
      </c>
      <c r="E12">
        <v>2</v>
      </c>
      <c r="F12">
        <f t="shared" si="0"/>
        <v>3.5</v>
      </c>
      <c r="G12" t="s">
        <v>118</v>
      </c>
    </row>
    <row r="13" spans="1:7" x14ac:dyDescent="0.2">
      <c r="A13" s="1">
        <v>4234</v>
      </c>
      <c r="C13" s="12">
        <v>3</v>
      </c>
      <c r="D13">
        <v>3.5</v>
      </c>
      <c r="E13">
        <v>3</v>
      </c>
      <c r="F13">
        <f t="shared" si="0"/>
        <v>9.5</v>
      </c>
      <c r="G13" t="s">
        <v>119</v>
      </c>
    </row>
    <row r="14" spans="1:7" x14ac:dyDescent="0.2">
      <c r="A14" s="1">
        <v>4239</v>
      </c>
      <c r="C14">
        <v>3.5</v>
      </c>
      <c r="D14">
        <v>4.5</v>
      </c>
      <c r="E14" s="6">
        <v>0</v>
      </c>
      <c r="F14">
        <f t="shared" si="0"/>
        <v>8</v>
      </c>
      <c r="G14" t="s">
        <v>120</v>
      </c>
    </row>
    <row r="15" spans="1:7" x14ac:dyDescent="0.2">
      <c r="A15" s="1">
        <v>4606</v>
      </c>
      <c r="C15">
        <v>1</v>
      </c>
      <c r="D15">
        <v>2.5</v>
      </c>
      <c r="E15">
        <v>1</v>
      </c>
      <c r="F15">
        <f t="shared" si="0"/>
        <v>4.5</v>
      </c>
      <c r="G15" t="s">
        <v>121</v>
      </c>
    </row>
    <row r="16" spans="1:7" x14ac:dyDescent="0.2">
      <c r="A16" s="1">
        <v>5010</v>
      </c>
      <c r="C16">
        <v>0.25</v>
      </c>
      <c r="D16">
        <v>0.25</v>
      </c>
      <c r="E16" s="6">
        <v>0</v>
      </c>
      <c r="F16">
        <f t="shared" si="0"/>
        <v>0.5</v>
      </c>
      <c r="G16" t="s">
        <v>122</v>
      </c>
    </row>
    <row r="17" spans="1:7" x14ac:dyDescent="0.2">
      <c r="A17" s="1">
        <v>6519</v>
      </c>
      <c r="C17">
        <v>1.5</v>
      </c>
      <c r="D17">
        <v>0.5</v>
      </c>
      <c r="E17">
        <v>3</v>
      </c>
      <c r="F17">
        <f t="shared" si="0"/>
        <v>5</v>
      </c>
      <c r="G17" t="s">
        <v>123</v>
      </c>
    </row>
    <row r="18" spans="1:7" x14ac:dyDescent="0.2">
      <c r="A18" s="1">
        <v>6571</v>
      </c>
      <c r="C18">
        <v>3.5</v>
      </c>
      <c r="D18">
        <v>4</v>
      </c>
      <c r="E18" s="6">
        <v>0</v>
      </c>
      <c r="F18">
        <f t="shared" si="0"/>
        <v>7.5</v>
      </c>
    </row>
    <row r="19" spans="1:7" x14ac:dyDescent="0.2">
      <c r="A19" s="1">
        <v>6785</v>
      </c>
      <c r="C19">
        <v>5</v>
      </c>
      <c r="D19">
        <v>0</v>
      </c>
      <c r="E19" s="6">
        <v>0</v>
      </c>
      <c r="F19">
        <f t="shared" si="0"/>
        <v>5</v>
      </c>
      <c r="G19" t="s">
        <v>124</v>
      </c>
    </row>
    <row r="20" spans="1:7" x14ac:dyDescent="0.2">
      <c r="A20" s="1">
        <v>7395</v>
      </c>
      <c r="C20">
        <v>0.5</v>
      </c>
      <c r="D20">
        <v>0.5</v>
      </c>
      <c r="E20" s="6">
        <v>0</v>
      </c>
      <c r="F20">
        <f t="shared" si="0"/>
        <v>1</v>
      </c>
      <c r="G20" t="s">
        <v>125</v>
      </c>
    </row>
    <row r="21" spans="1:7" x14ac:dyDescent="0.2">
      <c r="A21" s="1">
        <v>7416</v>
      </c>
      <c r="C21">
        <v>6</v>
      </c>
      <c r="D21">
        <v>0</v>
      </c>
      <c r="E21">
        <v>2</v>
      </c>
      <c r="F21">
        <f t="shared" si="0"/>
        <v>8</v>
      </c>
    </row>
    <row r="22" spans="1:7" x14ac:dyDescent="0.2">
      <c r="A22" s="1">
        <v>7531</v>
      </c>
      <c r="C22">
        <v>5.5</v>
      </c>
      <c r="D22">
        <v>6.5</v>
      </c>
      <c r="E22">
        <v>2</v>
      </c>
      <c r="F22">
        <f t="shared" si="0"/>
        <v>14</v>
      </c>
      <c r="G22" t="s">
        <v>126</v>
      </c>
    </row>
    <row r="23" spans="1:7" x14ac:dyDescent="0.2">
      <c r="A23" s="1">
        <v>8236</v>
      </c>
      <c r="C23">
        <v>2</v>
      </c>
      <c r="D23">
        <v>2</v>
      </c>
      <c r="E23" s="6">
        <v>0</v>
      </c>
      <c r="F23">
        <f t="shared" si="0"/>
        <v>4</v>
      </c>
    </row>
    <row r="24" spans="1:7" x14ac:dyDescent="0.2">
      <c r="A24" s="1">
        <v>8868</v>
      </c>
      <c r="C24" s="13">
        <v>3</v>
      </c>
      <c r="D24">
        <v>3.5</v>
      </c>
      <c r="E24">
        <v>3</v>
      </c>
      <c r="F24">
        <f t="shared" si="0"/>
        <v>9.5</v>
      </c>
      <c r="G24" t="s">
        <v>132</v>
      </c>
    </row>
    <row r="25" spans="1:7" x14ac:dyDescent="0.2">
      <c r="A25" s="1">
        <v>9113</v>
      </c>
      <c r="C25" s="12">
        <v>5</v>
      </c>
      <c r="D25">
        <v>4</v>
      </c>
      <c r="E25" s="6">
        <v>0</v>
      </c>
      <c r="F25">
        <f t="shared" si="0"/>
        <v>9</v>
      </c>
      <c r="G25" t="s">
        <v>133</v>
      </c>
    </row>
    <row r="26" spans="1:7" x14ac:dyDescent="0.2">
      <c r="A26" s="1">
        <v>9194</v>
      </c>
      <c r="C26">
        <v>4</v>
      </c>
      <c r="D26">
        <v>3.5</v>
      </c>
      <c r="E26" s="6">
        <v>0</v>
      </c>
      <c r="F26">
        <f t="shared" si="0"/>
        <v>7.5</v>
      </c>
      <c r="G26" t="s">
        <v>127</v>
      </c>
    </row>
    <row r="27" spans="1:7" x14ac:dyDescent="0.2">
      <c r="A27" s="1">
        <v>9561</v>
      </c>
      <c r="C27">
        <v>3</v>
      </c>
      <c r="D27">
        <v>0</v>
      </c>
      <c r="E27" s="6">
        <v>0</v>
      </c>
      <c r="F27">
        <f t="shared" si="0"/>
        <v>3</v>
      </c>
      <c r="G27" t="s">
        <v>128</v>
      </c>
    </row>
    <row r="28" spans="1:7" x14ac:dyDescent="0.2">
      <c r="A28" s="1">
        <v>9582</v>
      </c>
      <c r="C28">
        <v>3.5</v>
      </c>
      <c r="D28">
        <v>4</v>
      </c>
      <c r="E28" s="6">
        <v>0</v>
      </c>
      <c r="F28">
        <f t="shared" si="0"/>
        <v>7.5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9867-AC61-F547-B4BC-A8D28949E648}">
  <dimension ref="A1:Q36"/>
  <sheetViews>
    <sheetView workbookViewId="0">
      <selection activeCell="L3" sqref="L3:M29"/>
    </sheetView>
  </sheetViews>
  <sheetFormatPr baseColWidth="10" defaultRowHeight="16" x14ac:dyDescent="0.2"/>
  <cols>
    <col min="1" max="1" width="7.6640625" customWidth="1"/>
    <col min="2" max="2" width="6.6640625" customWidth="1"/>
    <col min="3" max="3" width="5.83203125" customWidth="1"/>
    <col min="4" max="4" width="6.6640625" customWidth="1"/>
    <col min="5" max="5" width="5.6640625" customWidth="1"/>
    <col min="6" max="6" width="6.1640625" customWidth="1"/>
    <col min="7" max="7" width="5" customWidth="1"/>
    <col min="8" max="8" width="4.83203125" customWidth="1"/>
    <col min="9" max="9" width="5.83203125" customWidth="1"/>
    <col min="10" max="10" width="5.6640625" customWidth="1"/>
    <col min="11" max="11" width="7.33203125" customWidth="1"/>
    <col min="12" max="12" width="6.33203125" customWidth="1"/>
  </cols>
  <sheetData>
    <row r="1" spans="1:13" x14ac:dyDescent="0.2">
      <c r="A1" t="s">
        <v>0</v>
      </c>
      <c r="B1" t="s">
        <v>76</v>
      </c>
      <c r="C1" t="s">
        <v>68</v>
      </c>
      <c r="D1" t="s">
        <v>97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 spans="1:13" x14ac:dyDescent="0.2">
      <c r="B2" t="s">
        <v>101</v>
      </c>
      <c r="C2" t="s">
        <v>98</v>
      </c>
      <c r="D2" t="s">
        <v>99</v>
      </c>
      <c r="E2" t="s">
        <v>102</v>
      </c>
      <c r="F2" t="s">
        <v>100</v>
      </c>
      <c r="G2" t="s">
        <v>93</v>
      </c>
      <c r="H2" t="s">
        <v>94</v>
      </c>
      <c r="I2" t="s">
        <v>103</v>
      </c>
      <c r="J2" t="s">
        <v>95</v>
      </c>
      <c r="K2" t="s">
        <v>96</v>
      </c>
    </row>
    <row r="3" spans="1:13" x14ac:dyDescent="0.2">
      <c r="A3" t="s">
        <v>58</v>
      </c>
      <c r="B3" s="2">
        <v>2</v>
      </c>
      <c r="C3" s="2">
        <v>2</v>
      </c>
      <c r="D3" s="2">
        <v>2.5</v>
      </c>
      <c r="E3" s="2">
        <v>3</v>
      </c>
      <c r="F3" s="2">
        <v>3</v>
      </c>
      <c r="G3" s="2">
        <v>2</v>
      </c>
      <c r="H3" s="9">
        <v>2</v>
      </c>
      <c r="I3" s="2">
        <v>1</v>
      </c>
      <c r="J3" s="9">
        <v>3</v>
      </c>
      <c r="K3" s="2">
        <v>2</v>
      </c>
      <c r="L3" s="2">
        <f>SUM(B3:K3)</f>
        <v>22.5</v>
      </c>
    </row>
    <row r="5" spans="1:13" x14ac:dyDescent="0.2">
      <c r="A5" s="1">
        <v>1248</v>
      </c>
      <c r="B5">
        <v>1</v>
      </c>
      <c r="C5">
        <v>2</v>
      </c>
      <c r="D5">
        <v>1</v>
      </c>
      <c r="E5">
        <v>3</v>
      </c>
      <c r="F5">
        <v>1</v>
      </c>
      <c r="G5">
        <v>1</v>
      </c>
      <c r="H5">
        <v>2</v>
      </c>
      <c r="I5">
        <v>1</v>
      </c>
      <c r="J5">
        <v>2</v>
      </c>
      <c r="K5">
        <v>2</v>
      </c>
      <c r="L5" s="11">
        <f t="shared" ref="L5:L29" si="0">SUM(B5:K5)</f>
        <v>16</v>
      </c>
      <c r="M5" t="s">
        <v>108</v>
      </c>
    </row>
    <row r="6" spans="1:13" x14ac:dyDescent="0.2">
      <c r="A6" s="1">
        <v>1889</v>
      </c>
      <c r="B6">
        <v>2</v>
      </c>
      <c r="C6">
        <v>2</v>
      </c>
      <c r="D6">
        <v>1</v>
      </c>
      <c r="E6">
        <v>0.5</v>
      </c>
      <c r="F6">
        <v>1</v>
      </c>
      <c r="G6">
        <v>2</v>
      </c>
      <c r="H6">
        <v>2</v>
      </c>
      <c r="I6">
        <v>1</v>
      </c>
      <c r="J6">
        <v>1</v>
      </c>
      <c r="K6">
        <v>1</v>
      </c>
      <c r="L6">
        <f t="shared" si="0"/>
        <v>13.5</v>
      </c>
      <c r="M6" t="s">
        <v>109</v>
      </c>
    </row>
    <row r="7" spans="1:13" x14ac:dyDescent="0.2">
      <c r="A7" s="1">
        <v>2099</v>
      </c>
      <c r="B7">
        <v>2</v>
      </c>
      <c r="D7">
        <v>2</v>
      </c>
      <c r="F7">
        <v>0.5</v>
      </c>
      <c r="G7">
        <v>-1</v>
      </c>
      <c r="I7">
        <v>1</v>
      </c>
      <c r="J7">
        <v>1</v>
      </c>
      <c r="K7">
        <v>2</v>
      </c>
      <c r="L7">
        <f t="shared" si="0"/>
        <v>7.5</v>
      </c>
      <c r="M7" t="s">
        <v>110</v>
      </c>
    </row>
    <row r="8" spans="1:13" x14ac:dyDescent="0.2">
      <c r="A8" s="1">
        <v>2410</v>
      </c>
      <c r="B8">
        <v>2</v>
      </c>
      <c r="C8">
        <v>2</v>
      </c>
      <c r="D8">
        <v>2</v>
      </c>
      <c r="E8">
        <v>3</v>
      </c>
      <c r="F8">
        <v>1</v>
      </c>
      <c r="G8">
        <v>2</v>
      </c>
      <c r="H8">
        <v>2</v>
      </c>
      <c r="I8">
        <v>1</v>
      </c>
      <c r="J8">
        <v>1</v>
      </c>
      <c r="K8">
        <v>1</v>
      </c>
      <c r="L8" s="11">
        <f t="shared" si="0"/>
        <v>17</v>
      </c>
      <c r="M8" t="s">
        <v>111</v>
      </c>
    </row>
    <row r="9" spans="1:13" x14ac:dyDescent="0.2">
      <c r="A9" s="1">
        <v>2809</v>
      </c>
      <c r="B9">
        <v>2</v>
      </c>
      <c r="C9">
        <v>2</v>
      </c>
      <c r="D9">
        <v>2.5</v>
      </c>
      <c r="F9">
        <v>1</v>
      </c>
      <c r="G9">
        <v>1</v>
      </c>
      <c r="H9" s="6">
        <v>0</v>
      </c>
      <c r="I9" s="6">
        <v>0</v>
      </c>
      <c r="J9" s="6">
        <v>0</v>
      </c>
      <c r="K9" s="6">
        <v>0</v>
      </c>
      <c r="L9">
        <f t="shared" si="0"/>
        <v>8.5</v>
      </c>
    </row>
    <row r="10" spans="1:13" x14ac:dyDescent="0.2">
      <c r="A10" s="8">
        <v>3071</v>
      </c>
      <c r="B10">
        <v>0.5</v>
      </c>
      <c r="C10">
        <v>2</v>
      </c>
      <c r="D10">
        <v>2.5</v>
      </c>
      <c r="E10">
        <v>0</v>
      </c>
      <c r="F10">
        <v>0.5</v>
      </c>
      <c r="G10">
        <v>0.5</v>
      </c>
      <c r="H10">
        <v>0</v>
      </c>
      <c r="I10">
        <v>0.5</v>
      </c>
      <c r="J10">
        <v>0.5</v>
      </c>
      <c r="K10">
        <v>1</v>
      </c>
      <c r="L10">
        <f t="shared" si="0"/>
        <v>8</v>
      </c>
      <c r="M10" t="s">
        <v>84</v>
      </c>
    </row>
    <row r="11" spans="1:13" x14ac:dyDescent="0.2">
      <c r="A11" s="1">
        <v>3470</v>
      </c>
      <c r="B11">
        <v>2</v>
      </c>
      <c r="C11">
        <v>2</v>
      </c>
      <c r="D11">
        <v>2</v>
      </c>
      <c r="E11">
        <v>0.5</v>
      </c>
      <c r="F11">
        <v>2</v>
      </c>
      <c r="G11">
        <v>2</v>
      </c>
      <c r="I11">
        <v>1</v>
      </c>
      <c r="J11">
        <v>1</v>
      </c>
      <c r="K11">
        <v>1</v>
      </c>
      <c r="L11">
        <f t="shared" si="0"/>
        <v>13.5</v>
      </c>
    </row>
    <row r="12" spans="1:13" x14ac:dyDescent="0.2">
      <c r="A12" s="1">
        <v>3757</v>
      </c>
      <c r="B12">
        <v>0.5</v>
      </c>
      <c r="C12">
        <v>2</v>
      </c>
      <c r="D12">
        <v>1</v>
      </c>
      <c r="G12">
        <v>0.5</v>
      </c>
      <c r="K12">
        <v>1</v>
      </c>
      <c r="L12">
        <f t="shared" si="0"/>
        <v>5</v>
      </c>
      <c r="M12" t="s">
        <v>85</v>
      </c>
    </row>
    <row r="13" spans="1:13" x14ac:dyDescent="0.2">
      <c r="A13" s="1">
        <v>4037</v>
      </c>
      <c r="B13">
        <v>2</v>
      </c>
      <c r="C13">
        <v>2</v>
      </c>
      <c r="D13">
        <v>2.5</v>
      </c>
      <c r="F13">
        <v>1</v>
      </c>
      <c r="G13">
        <v>2</v>
      </c>
      <c r="H13">
        <v>2</v>
      </c>
      <c r="I13">
        <v>1</v>
      </c>
      <c r="J13">
        <v>2</v>
      </c>
      <c r="K13">
        <v>0.5</v>
      </c>
      <c r="L13">
        <f t="shared" si="0"/>
        <v>15</v>
      </c>
      <c r="M13" t="s">
        <v>86</v>
      </c>
    </row>
    <row r="14" spans="1:13" x14ac:dyDescent="0.2">
      <c r="A14" s="1">
        <v>4234</v>
      </c>
      <c r="B14">
        <v>2</v>
      </c>
      <c r="C14">
        <v>2</v>
      </c>
      <c r="D14">
        <v>2</v>
      </c>
      <c r="E14">
        <v>3</v>
      </c>
      <c r="F14">
        <v>3</v>
      </c>
      <c r="I14">
        <v>1</v>
      </c>
      <c r="J14">
        <v>1</v>
      </c>
      <c r="K14">
        <v>2</v>
      </c>
      <c r="L14" s="11">
        <f t="shared" si="0"/>
        <v>16</v>
      </c>
      <c r="M14" t="s">
        <v>87</v>
      </c>
    </row>
    <row r="15" spans="1:13" x14ac:dyDescent="0.2">
      <c r="A15" s="1">
        <v>4239</v>
      </c>
      <c r="B15">
        <v>2</v>
      </c>
      <c r="C15">
        <v>2</v>
      </c>
      <c r="D15">
        <v>2</v>
      </c>
      <c r="E15">
        <v>0.5</v>
      </c>
      <c r="F15">
        <v>1</v>
      </c>
      <c r="G15">
        <v>2</v>
      </c>
      <c r="H15">
        <v>2</v>
      </c>
      <c r="I15">
        <v>1</v>
      </c>
      <c r="K15">
        <v>1</v>
      </c>
      <c r="L15">
        <f t="shared" si="0"/>
        <v>13.5</v>
      </c>
    </row>
    <row r="16" spans="1:13" x14ac:dyDescent="0.2">
      <c r="A16" s="1">
        <v>4606</v>
      </c>
      <c r="B16">
        <v>1</v>
      </c>
      <c r="D16">
        <v>2</v>
      </c>
      <c r="E16">
        <v>1</v>
      </c>
      <c r="F16">
        <v>1.5</v>
      </c>
      <c r="G16">
        <v>0.5</v>
      </c>
      <c r="I16">
        <v>0.5</v>
      </c>
      <c r="L16" s="10">
        <f t="shared" si="0"/>
        <v>6.5</v>
      </c>
      <c r="M16" t="s">
        <v>88</v>
      </c>
    </row>
    <row r="17" spans="1:17" x14ac:dyDescent="0.2">
      <c r="A17" s="1">
        <v>5010</v>
      </c>
      <c r="B17">
        <v>0</v>
      </c>
      <c r="C17">
        <v>1</v>
      </c>
      <c r="D17">
        <v>1.5</v>
      </c>
      <c r="H17">
        <v>2</v>
      </c>
      <c r="I17">
        <v>0.5</v>
      </c>
      <c r="J17" s="6">
        <v>0</v>
      </c>
      <c r="K17" s="6">
        <v>0</v>
      </c>
      <c r="L17" s="10">
        <f t="shared" si="0"/>
        <v>5</v>
      </c>
      <c r="M17" t="s">
        <v>89</v>
      </c>
    </row>
    <row r="18" spans="1:17" x14ac:dyDescent="0.2">
      <c r="A18" s="1">
        <v>6519</v>
      </c>
      <c r="B18">
        <v>1</v>
      </c>
      <c r="C18">
        <v>2</v>
      </c>
      <c r="D18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10">
        <f t="shared" si="0"/>
        <v>4</v>
      </c>
      <c r="M18" t="s">
        <v>90</v>
      </c>
    </row>
    <row r="19" spans="1:17" x14ac:dyDescent="0.2">
      <c r="A19" s="1">
        <v>6571</v>
      </c>
      <c r="B19">
        <v>1</v>
      </c>
      <c r="C19">
        <v>2</v>
      </c>
      <c r="D19">
        <v>2</v>
      </c>
      <c r="F19">
        <v>0.5</v>
      </c>
      <c r="G19">
        <v>0.5</v>
      </c>
      <c r="I19">
        <v>1</v>
      </c>
      <c r="J19">
        <v>3</v>
      </c>
      <c r="K19">
        <v>2</v>
      </c>
      <c r="L19">
        <f t="shared" si="0"/>
        <v>12</v>
      </c>
      <c r="M19" t="s">
        <v>91</v>
      </c>
      <c r="Q19" t="s">
        <v>92</v>
      </c>
    </row>
    <row r="20" spans="1:17" x14ac:dyDescent="0.2">
      <c r="A20" s="1">
        <v>6785</v>
      </c>
      <c r="B20">
        <v>0</v>
      </c>
      <c r="D20">
        <v>1</v>
      </c>
      <c r="F20">
        <v>0.5</v>
      </c>
      <c r="G20" s="6">
        <v>0</v>
      </c>
      <c r="J20">
        <v>1</v>
      </c>
      <c r="L20" s="10">
        <f t="shared" si="0"/>
        <v>2.5</v>
      </c>
      <c r="M20" t="s">
        <v>104</v>
      </c>
    </row>
    <row r="21" spans="1:17" x14ac:dyDescent="0.2">
      <c r="A21" s="1">
        <v>7395</v>
      </c>
      <c r="B21">
        <v>0</v>
      </c>
      <c r="C21">
        <v>2</v>
      </c>
      <c r="D21">
        <v>2</v>
      </c>
      <c r="E21">
        <v>1</v>
      </c>
      <c r="F21">
        <v>1</v>
      </c>
      <c r="G21">
        <v>2</v>
      </c>
      <c r="H21">
        <v>1</v>
      </c>
      <c r="I21">
        <v>1</v>
      </c>
      <c r="J21">
        <v>2</v>
      </c>
      <c r="K21">
        <v>2</v>
      </c>
      <c r="L21">
        <f t="shared" si="0"/>
        <v>14</v>
      </c>
      <c r="M21" t="s">
        <v>105</v>
      </c>
    </row>
    <row r="22" spans="1:17" x14ac:dyDescent="0.2">
      <c r="A22" s="1">
        <v>7416</v>
      </c>
      <c r="B22">
        <v>2</v>
      </c>
      <c r="C22">
        <v>2</v>
      </c>
      <c r="D22">
        <v>2.5</v>
      </c>
      <c r="E22">
        <v>3</v>
      </c>
      <c r="F22">
        <v>1</v>
      </c>
      <c r="G22">
        <v>2</v>
      </c>
      <c r="H22">
        <v>2</v>
      </c>
      <c r="I22">
        <v>1</v>
      </c>
      <c r="J22">
        <v>3</v>
      </c>
      <c r="K22">
        <v>1</v>
      </c>
      <c r="L22" s="11">
        <f t="shared" si="0"/>
        <v>19.5</v>
      </c>
    </row>
    <row r="23" spans="1:17" x14ac:dyDescent="0.2">
      <c r="A23" s="1">
        <v>7531</v>
      </c>
      <c r="B23">
        <v>1</v>
      </c>
      <c r="C23">
        <v>2</v>
      </c>
      <c r="D23">
        <v>2.5</v>
      </c>
      <c r="E23">
        <v>1</v>
      </c>
      <c r="F23">
        <v>0.5</v>
      </c>
      <c r="G23">
        <v>2</v>
      </c>
      <c r="H23">
        <v>2</v>
      </c>
      <c r="I23">
        <v>1</v>
      </c>
      <c r="J23">
        <v>1</v>
      </c>
      <c r="L23">
        <f t="shared" si="0"/>
        <v>13</v>
      </c>
    </row>
    <row r="24" spans="1:17" x14ac:dyDescent="0.2">
      <c r="A24" s="1">
        <v>8236</v>
      </c>
      <c r="B24">
        <v>2</v>
      </c>
      <c r="C24">
        <v>2</v>
      </c>
      <c r="D24">
        <v>1.5</v>
      </c>
      <c r="E24">
        <v>0.5</v>
      </c>
      <c r="F24">
        <v>0.5</v>
      </c>
      <c r="G24">
        <v>0.5</v>
      </c>
      <c r="H24">
        <v>1</v>
      </c>
      <c r="I24">
        <v>1</v>
      </c>
      <c r="J24">
        <v>0.5</v>
      </c>
      <c r="K24">
        <v>1</v>
      </c>
      <c r="L24">
        <f t="shared" si="0"/>
        <v>10.5</v>
      </c>
      <c r="M24" t="s">
        <v>112</v>
      </c>
    </row>
    <row r="25" spans="1:17" x14ac:dyDescent="0.2">
      <c r="A25" s="1">
        <v>8868</v>
      </c>
      <c r="B25">
        <v>2</v>
      </c>
      <c r="C25">
        <v>2</v>
      </c>
      <c r="D25">
        <v>2</v>
      </c>
      <c r="E25">
        <v>3</v>
      </c>
      <c r="F25">
        <v>1</v>
      </c>
      <c r="G25">
        <v>2</v>
      </c>
      <c r="H25">
        <v>2</v>
      </c>
      <c r="I25">
        <v>1</v>
      </c>
      <c r="J25">
        <v>0.5</v>
      </c>
      <c r="K25">
        <v>2</v>
      </c>
      <c r="L25" s="11">
        <f t="shared" si="0"/>
        <v>17.5</v>
      </c>
    </row>
    <row r="26" spans="1:17" x14ac:dyDescent="0.2">
      <c r="A26" s="1">
        <v>9113</v>
      </c>
      <c r="B26">
        <v>1</v>
      </c>
      <c r="C26">
        <v>2</v>
      </c>
      <c r="D26">
        <v>2</v>
      </c>
      <c r="F26">
        <v>0.5</v>
      </c>
      <c r="G26">
        <v>1</v>
      </c>
      <c r="I26">
        <v>1</v>
      </c>
      <c r="J26">
        <v>3</v>
      </c>
      <c r="K26">
        <v>2</v>
      </c>
      <c r="L26">
        <f t="shared" si="0"/>
        <v>12.5</v>
      </c>
    </row>
    <row r="27" spans="1:17" x14ac:dyDescent="0.2">
      <c r="A27" s="1">
        <v>9194</v>
      </c>
      <c r="B27">
        <v>1</v>
      </c>
      <c r="C27">
        <v>2</v>
      </c>
      <c r="D27">
        <v>2</v>
      </c>
      <c r="F27">
        <v>0.5</v>
      </c>
      <c r="G27">
        <v>0.5</v>
      </c>
      <c r="I27">
        <v>1</v>
      </c>
      <c r="L27">
        <f t="shared" si="0"/>
        <v>7</v>
      </c>
      <c r="M27" t="s">
        <v>106</v>
      </c>
    </row>
    <row r="28" spans="1:17" x14ac:dyDescent="0.2">
      <c r="A28" s="1">
        <v>9561</v>
      </c>
      <c r="B28">
        <v>2</v>
      </c>
      <c r="C28">
        <v>2</v>
      </c>
      <c r="D28">
        <v>2.5</v>
      </c>
      <c r="E28">
        <v>0.5</v>
      </c>
      <c r="F28">
        <v>0.5</v>
      </c>
      <c r="G28">
        <v>1</v>
      </c>
      <c r="I28">
        <v>-1</v>
      </c>
      <c r="J28">
        <v>1</v>
      </c>
      <c r="K28">
        <v>2</v>
      </c>
      <c r="L28">
        <f t="shared" si="0"/>
        <v>10.5</v>
      </c>
    </row>
    <row r="29" spans="1:17" x14ac:dyDescent="0.2">
      <c r="A29" s="1">
        <v>9582</v>
      </c>
      <c r="B29">
        <v>1.5</v>
      </c>
      <c r="C29">
        <v>2</v>
      </c>
      <c r="D29">
        <v>2.5</v>
      </c>
      <c r="F29">
        <v>0.5</v>
      </c>
      <c r="G29">
        <v>2</v>
      </c>
      <c r="I29">
        <v>1</v>
      </c>
      <c r="J29">
        <v>3</v>
      </c>
      <c r="K29">
        <v>1</v>
      </c>
      <c r="L29">
        <f t="shared" si="0"/>
        <v>13.5</v>
      </c>
      <c r="M29" t="s">
        <v>107</v>
      </c>
    </row>
    <row r="31" spans="1:17" x14ac:dyDescent="0.2">
      <c r="A31" t="s">
        <v>113</v>
      </c>
      <c r="B31">
        <f t="shared" ref="B31:L31" si="1">AVERAGE(B5:B29)</f>
        <v>1.34</v>
      </c>
      <c r="C31">
        <f t="shared" si="1"/>
        <v>1.9545454545454546</v>
      </c>
      <c r="D31">
        <f t="shared" si="1"/>
        <v>1.9</v>
      </c>
      <c r="E31">
        <f t="shared" si="1"/>
        <v>1.4642857142857142</v>
      </c>
      <c r="F31">
        <f t="shared" si="1"/>
        <v>0.89130434782608692</v>
      </c>
      <c r="G31">
        <f t="shared" si="1"/>
        <v>1.1304347826086956</v>
      </c>
      <c r="H31">
        <f t="shared" si="1"/>
        <v>1.4285714285714286</v>
      </c>
      <c r="I31">
        <f t="shared" si="1"/>
        <v>0.76086956521739135</v>
      </c>
      <c r="J31">
        <f t="shared" si="1"/>
        <v>1.3095238095238095</v>
      </c>
      <c r="K31">
        <f t="shared" si="1"/>
        <v>1.2142857142857142</v>
      </c>
      <c r="L31">
        <f t="shared" si="1"/>
        <v>11.26</v>
      </c>
    </row>
    <row r="32" spans="1:17" x14ac:dyDescent="0.2">
      <c r="A32" t="s">
        <v>114</v>
      </c>
      <c r="L32">
        <f>STDEV(L5:L29)</f>
        <v>4.6258332582717818</v>
      </c>
    </row>
    <row r="34" spans="1:12" x14ac:dyDescent="0.2">
      <c r="A34" t="s">
        <v>27</v>
      </c>
      <c r="L34">
        <f>L31+L32</f>
        <v>15.885833258271781</v>
      </c>
    </row>
    <row r="35" spans="1:12" x14ac:dyDescent="0.2">
      <c r="A35" t="s">
        <v>26</v>
      </c>
      <c r="L35">
        <f>L31-L32</f>
        <v>6.634166741728218</v>
      </c>
    </row>
    <row r="36" spans="1:12" x14ac:dyDescent="0.2">
      <c r="A36" t="s">
        <v>115</v>
      </c>
      <c r="L36">
        <f>L35-L32</f>
        <v>2.0083334834564361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Q1a-b</vt:lpstr>
      <vt:lpstr>Q1c-e</vt:lpstr>
      <vt:lpstr>Q2a-(C)</vt:lpstr>
      <vt:lpstr>Q2-TM</vt:lpstr>
      <vt:lpstr>Q2-Box</vt:lpstr>
      <vt:lpstr>short 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Cynthia</dc:creator>
  <cp:lastModifiedBy>Trumbull, Jonathan D</cp:lastModifiedBy>
  <dcterms:created xsi:type="dcterms:W3CDTF">2025-12-20T20:52:21Z</dcterms:created>
  <dcterms:modified xsi:type="dcterms:W3CDTF">2026-01-02T16:22:26Z</dcterms:modified>
</cp:coreProperties>
</file>